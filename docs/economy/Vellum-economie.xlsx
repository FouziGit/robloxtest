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ourb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4"/>
    </font>
    <font>
      <name val="Arial"/>
      <i val="1"/>
      <color rgb="00555555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Palier du pass, jour après jour</a:t>
            </a:r>
          </a:p>
        </rich>
      </tx>
    </title>
    <plotArea>
      <lineChart>
        <grouping val="standard"/>
        <ser>
          <idx val="0"/>
          <order val="0"/>
          <tx>
            <strRef>
              <f>'Courbes'!B1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'Courbes'!$A$2:$A$61</f>
            </numRef>
          </cat>
          <val>
            <numRef>
              <f>'Courbes'!$B$2:$B$61</f>
            </numRef>
          </val>
        </ser>
        <ser>
          <idx val="1"/>
          <order val="1"/>
          <tx>
            <strRef>
              <f>'Courbes'!C1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'Courbes'!$A$2:$A$61</f>
            </numRef>
          </cat>
          <val>
            <numRef>
              <f>'Courbes'!$C$2:$C$61</f>
            </numRef>
          </val>
        </ser>
        <ser>
          <idx val="2"/>
          <order val="2"/>
          <tx>
            <strRef>
              <f>'Courbes'!D1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'Courbes'!$A$2:$A$61</f>
            </numRef>
          </cat>
          <val>
            <numRef>
              <f>'Courbes'!$D$2:$D$61</f>
            </numRef>
          </val>
        </ser>
        <ser>
          <idx val="3"/>
          <order val="3"/>
          <tx>
            <strRef>
              <f>'Courbes'!E1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'Courbes'!$A$2:$A$61</f>
            </numRef>
          </cat>
          <val>
            <numRef>
              <f>'Courbes'!$E$2:$E$61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Palier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Vellum</author>
  </authors>
  <commentList>
    <comment ref="A1" authorId="0" shapeId="0">
      <text>
        <t>Source : scripts/pacing.luau (lune run scripts/pacing -- --csv), docs/economy/pacing.csv.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profil</t>
        </is>
      </c>
      <c r="B1" s="1" t="inlineStr">
        <is>
          <t>jour</t>
        </is>
      </c>
      <c r="C1" s="1" t="inlineStr">
        <is>
          <t>minutes</t>
        </is>
      </c>
      <c r="D1" s="1" t="inlineStr">
        <is>
          <t>niveau</t>
        </is>
      </c>
      <c r="E1" s="1" t="inlineStr">
        <is>
          <t>xp_totale</t>
        </is>
      </c>
      <c r="F1" s="1" t="inlineStr">
        <is>
          <t>palier</t>
        </is>
      </c>
      <c r="G1" s="1" t="inlineStr">
        <is>
          <t>folios_gagnes</t>
        </is>
      </c>
      <c r="H1" s="1" t="inlineStr">
        <is>
          <t>folios_en_poche</t>
        </is>
      </c>
      <c r="I1" s="1" t="inlineStr">
        <is>
          <t>objets_possedes</t>
        </is>
      </c>
    </row>
    <row r="2">
      <c r="A2" s="2" t="inlineStr">
        <is>
          <t>Solo20</t>
        </is>
      </c>
      <c r="B2" s="2" t="n">
        <v>1</v>
      </c>
      <c r="C2" s="2" t="n">
        <v>20</v>
      </c>
      <c r="D2" s="2" t="n">
        <v>13</v>
      </c>
      <c r="E2" s="2" t="n">
        <v>5258</v>
      </c>
      <c r="F2" s="2" t="n">
        <v>17</v>
      </c>
      <c r="G2" s="2" t="n">
        <v>2050</v>
      </c>
      <c r="H2" s="2" t="n">
        <v>850</v>
      </c>
      <c r="I2" s="2" t="n">
        <v>5</v>
      </c>
    </row>
    <row r="3">
      <c r="A3" s="2" t="inlineStr">
        <is>
          <t>Solo20</t>
        </is>
      </c>
      <c r="B3" s="2" t="n">
        <v>2</v>
      </c>
      <c r="C3" s="2" t="n">
        <v>41</v>
      </c>
      <c r="D3" s="2" t="n">
        <v>18</v>
      </c>
      <c r="E3" s="2" t="n">
        <v>10567</v>
      </c>
      <c r="F3" s="2" t="n">
        <v>26</v>
      </c>
      <c r="G3" s="2" t="n">
        <v>4255</v>
      </c>
      <c r="H3" s="2" t="n">
        <v>655</v>
      </c>
      <c r="I3" s="2" t="n">
        <v>9</v>
      </c>
    </row>
    <row r="4">
      <c r="A4" s="2" t="inlineStr">
        <is>
          <t>Solo20</t>
        </is>
      </c>
      <c r="B4" s="2" t="n">
        <v>3</v>
      </c>
      <c r="C4" s="2" t="n">
        <v>61</v>
      </c>
      <c r="D4" s="2" t="n">
        <v>22</v>
      </c>
      <c r="E4" s="2" t="n">
        <v>15025</v>
      </c>
      <c r="F4" s="2" t="n">
        <v>31</v>
      </c>
      <c r="G4" s="2" t="n">
        <v>5995</v>
      </c>
      <c r="H4" s="2" t="n">
        <v>1795</v>
      </c>
      <c r="I4" s="2" t="n">
        <v>11</v>
      </c>
    </row>
    <row r="5">
      <c r="A5" s="2" t="inlineStr">
        <is>
          <t>Solo20</t>
        </is>
      </c>
      <c r="B5" s="2" t="n">
        <v>4</v>
      </c>
      <c r="C5" s="2" t="n">
        <v>81</v>
      </c>
      <c r="D5" s="2" t="n">
        <v>24</v>
      </c>
      <c r="E5" s="2" t="n">
        <v>19533</v>
      </c>
      <c r="F5" s="2" t="n">
        <v>36</v>
      </c>
      <c r="G5" s="2" t="n">
        <v>8080</v>
      </c>
      <c r="H5" s="2" t="n">
        <v>2080</v>
      </c>
      <c r="I5" s="2" t="n">
        <v>13</v>
      </c>
    </row>
    <row r="6">
      <c r="A6" s="2" t="inlineStr">
        <is>
          <t>Solo20</t>
        </is>
      </c>
      <c r="B6" s="2" t="n">
        <v>5</v>
      </c>
      <c r="C6" s="2" t="n">
        <v>102</v>
      </c>
      <c r="D6" s="2" t="n">
        <v>27</v>
      </c>
      <c r="E6" s="2" t="n">
        <v>24091</v>
      </c>
      <c r="F6" s="2" t="n">
        <v>40</v>
      </c>
      <c r="G6" s="2" t="n">
        <v>10000</v>
      </c>
      <c r="H6" s="2" t="n">
        <v>2200</v>
      </c>
      <c r="I6" s="2" t="n">
        <v>15</v>
      </c>
    </row>
    <row r="7">
      <c r="A7" s="2" t="inlineStr">
        <is>
          <t>Solo20</t>
        </is>
      </c>
      <c r="B7" s="2" t="n">
        <v>6</v>
      </c>
      <c r="C7" s="2" t="n">
        <v>122</v>
      </c>
      <c r="D7" s="2" t="n">
        <v>29</v>
      </c>
      <c r="E7" s="2" t="n">
        <v>28750</v>
      </c>
      <c r="F7" s="2" t="n">
        <v>44</v>
      </c>
      <c r="G7" s="2" t="n">
        <v>13140</v>
      </c>
      <c r="H7" s="2" t="n">
        <v>3540</v>
      </c>
      <c r="I7" s="2" t="n">
        <v>16</v>
      </c>
    </row>
    <row r="8">
      <c r="A8" s="2" t="inlineStr">
        <is>
          <t>Solo20</t>
        </is>
      </c>
      <c r="B8" s="2" t="n">
        <v>7</v>
      </c>
      <c r="C8" s="2" t="n">
        <v>142</v>
      </c>
      <c r="D8" s="2" t="n">
        <v>31</v>
      </c>
      <c r="E8" s="2" t="n">
        <v>33608</v>
      </c>
      <c r="F8" s="2" t="n">
        <v>48</v>
      </c>
      <c r="G8" s="2" t="n">
        <v>16380</v>
      </c>
      <c r="H8" s="2" t="n">
        <v>2780</v>
      </c>
      <c r="I8" s="2" t="n">
        <v>18</v>
      </c>
    </row>
    <row r="9">
      <c r="A9" s="2" t="inlineStr">
        <is>
          <t>Solo20</t>
        </is>
      </c>
      <c r="B9" s="2" t="n">
        <v>8</v>
      </c>
      <c r="C9" s="2" t="n">
        <v>163</v>
      </c>
      <c r="D9" s="2" t="n">
        <v>33</v>
      </c>
      <c r="E9" s="2" t="n">
        <v>39766</v>
      </c>
      <c r="F9" s="2" t="n">
        <v>50</v>
      </c>
      <c r="G9" s="2" t="n">
        <v>18320</v>
      </c>
      <c r="H9" s="2" t="n">
        <v>720</v>
      </c>
      <c r="I9" s="2" t="n">
        <v>20</v>
      </c>
    </row>
    <row r="10">
      <c r="A10" s="2" t="inlineStr">
        <is>
          <t>Solo20</t>
        </is>
      </c>
      <c r="B10" s="2" t="n">
        <v>9</v>
      </c>
      <c r="C10" s="2" t="n">
        <v>183</v>
      </c>
      <c r="D10" s="2" t="n">
        <v>34</v>
      </c>
      <c r="E10" s="2" t="n">
        <v>44174</v>
      </c>
      <c r="F10" s="2" t="n">
        <v>50</v>
      </c>
      <c r="G10" s="2" t="n">
        <v>18635</v>
      </c>
      <c r="H10" s="2" t="n">
        <v>1035</v>
      </c>
      <c r="I10" s="2" t="n">
        <v>20</v>
      </c>
    </row>
    <row r="11">
      <c r="A11" s="2" t="inlineStr">
        <is>
          <t>Solo20</t>
        </is>
      </c>
      <c r="B11" s="2" t="n">
        <v>10</v>
      </c>
      <c r="C11" s="2" t="n">
        <v>203</v>
      </c>
      <c r="D11" s="2" t="n">
        <v>36</v>
      </c>
      <c r="E11" s="2" t="n">
        <v>48633</v>
      </c>
      <c r="F11" s="2" t="n">
        <v>50</v>
      </c>
      <c r="G11" s="2" t="n">
        <v>18975</v>
      </c>
      <c r="H11" s="2" t="n">
        <v>1375</v>
      </c>
      <c r="I11" s="2" t="n">
        <v>20</v>
      </c>
    </row>
    <row r="12">
      <c r="A12" s="2" t="inlineStr">
        <is>
          <t>Solo20</t>
        </is>
      </c>
      <c r="B12" s="2" t="n">
        <v>11</v>
      </c>
      <c r="C12" s="2" t="n">
        <v>224</v>
      </c>
      <c r="D12" s="2" t="n">
        <v>37</v>
      </c>
      <c r="E12" s="2" t="n">
        <v>53141</v>
      </c>
      <c r="F12" s="2" t="n">
        <v>50</v>
      </c>
      <c r="G12" s="2" t="n">
        <v>19340</v>
      </c>
      <c r="H12" s="2" t="n">
        <v>1740</v>
      </c>
      <c r="I12" s="2" t="n">
        <v>20</v>
      </c>
    </row>
    <row r="13">
      <c r="A13" s="2" t="inlineStr">
        <is>
          <t>Solo20</t>
        </is>
      </c>
      <c r="B13" s="2" t="n">
        <v>12</v>
      </c>
      <c r="C13" s="2" t="n">
        <v>244</v>
      </c>
      <c r="D13" s="2" t="n">
        <v>39</v>
      </c>
      <c r="E13" s="2" t="n">
        <v>57699</v>
      </c>
      <c r="F13" s="2" t="n">
        <v>50</v>
      </c>
      <c r="G13" s="2" t="n">
        <v>19730</v>
      </c>
      <c r="H13" s="2" t="n">
        <v>2130</v>
      </c>
      <c r="I13" s="2" t="n">
        <v>20</v>
      </c>
    </row>
    <row r="14">
      <c r="A14" s="2" t="inlineStr">
        <is>
          <t>Solo20</t>
        </is>
      </c>
      <c r="B14" s="2" t="n">
        <v>13</v>
      </c>
      <c r="C14" s="2" t="n">
        <v>264</v>
      </c>
      <c r="D14" s="2" t="n">
        <v>40</v>
      </c>
      <c r="E14" s="2" t="n">
        <v>62358</v>
      </c>
      <c r="F14" s="2" t="n">
        <v>50</v>
      </c>
      <c r="G14" s="2" t="n">
        <v>20170</v>
      </c>
      <c r="H14" s="2" t="n">
        <v>2570</v>
      </c>
      <c r="I14" s="2" t="n">
        <v>20</v>
      </c>
    </row>
    <row r="15">
      <c r="A15" s="2" t="inlineStr">
        <is>
          <t>Solo20</t>
        </is>
      </c>
      <c r="B15" s="2" t="n">
        <v>14</v>
      </c>
      <c r="C15" s="2" t="n">
        <v>285</v>
      </c>
      <c r="D15" s="2" t="n">
        <v>41</v>
      </c>
      <c r="E15" s="2" t="n">
        <v>67216</v>
      </c>
      <c r="F15" s="2" t="n">
        <v>50</v>
      </c>
      <c r="G15" s="2" t="n">
        <v>20710</v>
      </c>
      <c r="H15" s="2" t="n">
        <v>3110</v>
      </c>
      <c r="I15" s="2" t="n">
        <v>20</v>
      </c>
    </row>
    <row r="16">
      <c r="A16" s="2" t="inlineStr">
        <is>
          <t>Solo20</t>
        </is>
      </c>
      <c r="B16" s="2" t="n">
        <v>15</v>
      </c>
      <c r="C16" s="2" t="n">
        <v>305</v>
      </c>
      <c r="D16" s="2" t="n">
        <v>43</v>
      </c>
      <c r="E16" s="2" t="n">
        <v>73374</v>
      </c>
      <c r="F16" s="2" t="n">
        <v>50</v>
      </c>
      <c r="G16" s="2" t="n">
        <v>21400</v>
      </c>
      <c r="H16" s="2" t="n">
        <v>3800</v>
      </c>
      <c r="I16" s="2" t="n">
        <v>20</v>
      </c>
    </row>
    <row r="17">
      <c r="A17" s="2" t="inlineStr">
        <is>
          <t>Solo20</t>
        </is>
      </c>
      <c r="B17" s="2" t="n">
        <v>16</v>
      </c>
      <c r="C17" s="2" t="n">
        <v>326</v>
      </c>
      <c r="D17" s="2" t="n">
        <v>44</v>
      </c>
      <c r="E17" s="2" t="n">
        <v>77782</v>
      </c>
      <c r="F17" s="2" t="n">
        <v>50</v>
      </c>
      <c r="G17" s="2" t="n">
        <v>21715</v>
      </c>
      <c r="H17" s="2" t="n">
        <v>4115</v>
      </c>
      <c r="I17" s="2" t="n">
        <v>20</v>
      </c>
    </row>
    <row r="18">
      <c r="A18" s="2" t="inlineStr">
        <is>
          <t>Solo20</t>
        </is>
      </c>
      <c r="B18" s="2" t="n">
        <v>17</v>
      </c>
      <c r="C18" s="2" t="n">
        <v>346</v>
      </c>
      <c r="D18" s="2" t="n">
        <v>45</v>
      </c>
      <c r="E18" s="2" t="n">
        <v>82241</v>
      </c>
      <c r="F18" s="2" t="n">
        <v>50</v>
      </c>
      <c r="G18" s="2" t="n">
        <v>22055</v>
      </c>
      <c r="H18" s="2" t="n">
        <v>455</v>
      </c>
      <c r="I18" s="2" t="n">
        <v>21</v>
      </c>
    </row>
    <row r="19">
      <c r="A19" s="2" t="inlineStr">
        <is>
          <t>Solo20</t>
        </is>
      </c>
      <c r="B19" s="2" t="n">
        <v>18</v>
      </c>
      <c r="C19" s="2" t="n">
        <v>366</v>
      </c>
      <c r="D19" s="2" t="n">
        <v>46</v>
      </c>
      <c r="E19" s="2" t="n">
        <v>86749</v>
      </c>
      <c r="F19" s="2" t="n">
        <v>50</v>
      </c>
      <c r="G19" s="2" t="n">
        <v>22420</v>
      </c>
      <c r="H19" s="2" t="n">
        <v>820</v>
      </c>
      <c r="I19" s="2" t="n">
        <v>21</v>
      </c>
    </row>
    <row r="20">
      <c r="A20" s="2" t="inlineStr">
        <is>
          <t>Solo20</t>
        </is>
      </c>
      <c r="B20" s="2" t="n">
        <v>19</v>
      </c>
      <c r="C20" s="2" t="n">
        <v>387</v>
      </c>
      <c r="D20" s="2" t="n">
        <v>47</v>
      </c>
      <c r="E20" s="2" t="n">
        <v>91307</v>
      </c>
      <c r="F20" s="2" t="n">
        <v>50</v>
      </c>
      <c r="G20" s="2" t="n">
        <v>22810</v>
      </c>
      <c r="H20" s="2" t="n">
        <v>1210</v>
      </c>
      <c r="I20" s="2" t="n">
        <v>21</v>
      </c>
    </row>
    <row r="21">
      <c r="A21" s="2" t="inlineStr">
        <is>
          <t>Solo20</t>
        </is>
      </c>
      <c r="B21" s="2" t="n">
        <v>20</v>
      </c>
      <c r="C21" s="2" t="n">
        <v>407</v>
      </c>
      <c r="D21" s="2" t="n">
        <v>48</v>
      </c>
      <c r="E21" s="2" t="n">
        <v>95965</v>
      </c>
      <c r="F21" s="2" t="n">
        <v>50</v>
      </c>
      <c r="G21" s="2" t="n">
        <v>23250</v>
      </c>
      <c r="H21" s="2" t="n">
        <v>1650</v>
      </c>
      <c r="I21" s="2" t="n">
        <v>21</v>
      </c>
    </row>
    <row r="22">
      <c r="A22" s="2" t="inlineStr">
        <is>
          <t>Solo20</t>
        </is>
      </c>
      <c r="B22" s="2" t="n">
        <v>21</v>
      </c>
      <c r="C22" s="2" t="n">
        <v>427</v>
      </c>
      <c r="D22" s="2" t="n">
        <v>49</v>
      </c>
      <c r="E22" s="2" t="n">
        <v>100824</v>
      </c>
      <c r="F22" s="2" t="n">
        <v>50</v>
      </c>
      <c r="G22" s="2" t="n">
        <v>23790</v>
      </c>
      <c r="H22" s="2" t="n">
        <v>2190</v>
      </c>
      <c r="I22" s="2" t="n">
        <v>21</v>
      </c>
    </row>
    <row r="23">
      <c r="A23" s="2" t="inlineStr">
        <is>
          <t>Solo20</t>
        </is>
      </c>
      <c r="B23" s="2" t="n">
        <v>22</v>
      </c>
      <c r="C23" s="2" t="n">
        <v>448</v>
      </c>
      <c r="D23" s="2" t="n">
        <v>50</v>
      </c>
      <c r="E23" s="2" t="n">
        <v>106082</v>
      </c>
      <c r="F23" s="2" t="n">
        <v>50</v>
      </c>
      <c r="G23" s="2" t="n">
        <v>24280</v>
      </c>
      <c r="H23" s="2" t="n">
        <v>2680</v>
      </c>
      <c r="I23" s="2" t="n">
        <v>21</v>
      </c>
    </row>
    <row r="24">
      <c r="A24" s="2" t="inlineStr">
        <is>
          <t>Solo20</t>
        </is>
      </c>
      <c r="B24" s="2" t="n">
        <v>23</v>
      </c>
      <c r="C24" s="2" t="n">
        <v>468</v>
      </c>
      <c r="D24" s="2" t="n">
        <v>51</v>
      </c>
      <c r="E24" s="2" t="n">
        <v>111390</v>
      </c>
      <c r="F24" s="2" t="n">
        <v>50</v>
      </c>
      <c r="G24" s="2" t="n">
        <v>24795</v>
      </c>
      <c r="H24" s="2" t="n">
        <v>3195</v>
      </c>
      <c r="I24" s="2" t="n">
        <v>21</v>
      </c>
    </row>
    <row r="25">
      <c r="A25" s="2" t="inlineStr">
        <is>
          <t>Solo20</t>
        </is>
      </c>
      <c r="B25" s="2" t="n">
        <v>24</v>
      </c>
      <c r="C25" s="2" t="n">
        <v>488</v>
      </c>
      <c r="D25" s="2" t="n">
        <v>52</v>
      </c>
      <c r="E25" s="2" t="n">
        <v>115849</v>
      </c>
      <c r="F25" s="2" t="n">
        <v>50</v>
      </c>
      <c r="G25" s="2" t="n">
        <v>25135</v>
      </c>
      <c r="H25" s="2" t="n">
        <v>3535</v>
      </c>
      <c r="I25" s="2" t="n">
        <v>21</v>
      </c>
    </row>
    <row r="26">
      <c r="A26" s="2" t="inlineStr">
        <is>
          <t>Solo20</t>
        </is>
      </c>
      <c r="B26" s="2" t="n">
        <v>25</v>
      </c>
      <c r="C26" s="2" t="n">
        <v>509</v>
      </c>
      <c r="D26" s="2" t="n">
        <v>53</v>
      </c>
      <c r="E26" s="2" t="n">
        <v>120357</v>
      </c>
      <c r="F26" s="2" t="n">
        <v>50</v>
      </c>
      <c r="G26" s="2" t="n">
        <v>25500</v>
      </c>
      <c r="H26" s="2" t="n">
        <v>3900</v>
      </c>
      <c r="I26" s="2" t="n">
        <v>21</v>
      </c>
    </row>
    <row r="27">
      <c r="A27" s="2" t="inlineStr">
        <is>
          <t>Solo20</t>
        </is>
      </c>
      <c r="B27" s="2" t="n">
        <v>26</v>
      </c>
      <c r="C27" s="2" t="n">
        <v>529</v>
      </c>
      <c r="D27" s="2" t="n">
        <v>54</v>
      </c>
      <c r="E27" s="2" t="n">
        <v>124915</v>
      </c>
      <c r="F27" s="2" t="n">
        <v>50</v>
      </c>
      <c r="G27" s="2" t="n">
        <v>25890</v>
      </c>
      <c r="H27" s="2" t="n">
        <v>4290</v>
      </c>
      <c r="I27" s="2" t="n">
        <v>21</v>
      </c>
    </row>
    <row r="28">
      <c r="A28" s="2" t="inlineStr">
        <is>
          <t>Solo20</t>
        </is>
      </c>
      <c r="B28" s="2" t="n">
        <v>27</v>
      </c>
      <c r="C28" s="2" t="n">
        <v>549</v>
      </c>
      <c r="D28" s="2" t="n">
        <v>55</v>
      </c>
      <c r="E28" s="2" t="n">
        <v>129573</v>
      </c>
      <c r="F28" s="2" t="n">
        <v>50</v>
      </c>
      <c r="G28" s="2" t="n">
        <v>26330</v>
      </c>
      <c r="H28" s="2" t="n">
        <v>4730</v>
      </c>
      <c r="I28" s="2" t="n">
        <v>21</v>
      </c>
    </row>
    <row r="29">
      <c r="A29" s="2" t="inlineStr">
        <is>
          <t>Solo20</t>
        </is>
      </c>
      <c r="B29" s="2" t="n">
        <v>28</v>
      </c>
      <c r="C29" s="2" t="n">
        <v>570</v>
      </c>
      <c r="D29" s="2" t="n">
        <v>56</v>
      </c>
      <c r="E29" s="2" t="n">
        <v>134432</v>
      </c>
      <c r="F29" s="2" t="n">
        <v>50</v>
      </c>
      <c r="G29" s="2" t="n">
        <v>26870</v>
      </c>
      <c r="H29" s="2" t="n">
        <v>5270</v>
      </c>
      <c r="I29" s="2" t="n">
        <v>21</v>
      </c>
    </row>
    <row r="30">
      <c r="A30" s="2" t="inlineStr">
        <is>
          <t>Solo20</t>
        </is>
      </c>
      <c r="B30" s="2" t="n">
        <v>29</v>
      </c>
      <c r="C30" s="2" t="n">
        <v>590</v>
      </c>
      <c r="D30" s="2" t="n">
        <v>57</v>
      </c>
      <c r="E30" s="2" t="n">
        <v>139690</v>
      </c>
      <c r="F30" s="2" t="n">
        <v>50</v>
      </c>
      <c r="G30" s="2" t="n">
        <v>27360</v>
      </c>
      <c r="H30" s="2" t="n">
        <v>5760</v>
      </c>
      <c r="I30" s="2" t="n">
        <v>21</v>
      </c>
    </row>
    <row r="31">
      <c r="A31" s="2" t="inlineStr">
        <is>
          <t>Solo20</t>
        </is>
      </c>
      <c r="B31" s="2" t="n">
        <v>30</v>
      </c>
      <c r="C31" s="2" t="n">
        <v>610</v>
      </c>
      <c r="D31" s="2" t="n">
        <v>57</v>
      </c>
      <c r="E31" s="2" t="n">
        <v>144998</v>
      </c>
      <c r="F31" s="2" t="n">
        <v>50</v>
      </c>
      <c r="G31" s="2" t="n">
        <v>27875</v>
      </c>
      <c r="H31" s="2" t="n">
        <v>6275</v>
      </c>
      <c r="I31" s="2" t="n">
        <v>21</v>
      </c>
    </row>
    <row r="32">
      <c r="A32" s="2" t="inlineStr">
        <is>
          <t>Solo20</t>
        </is>
      </c>
      <c r="B32" s="2" t="n">
        <v>31</v>
      </c>
      <c r="C32" s="2" t="n">
        <v>631</v>
      </c>
      <c r="D32" s="2" t="n">
        <v>58</v>
      </c>
      <c r="E32" s="2" t="n">
        <v>149456</v>
      </c>
      <c r="F32" s="2" t="n">
        <v>50</v>
      </c>
      <c r="G32" s="2" t="n">
        <v>28215</v>
      </c>
      <c r="H32" s="2" t="n">
        <v>6615</v>
      </c>
      <c r="I32" s="2" t="n">
        <v>21</v>
      </c>
    </row>
    <row r="33">
      <c r="A33" s="2" t="inlineStr">
        <is>
          <t>Solo20</t>
        </is>
      </c>
      <c r="B33" s="2" t="n">
        <v>32</v>
      </c>
      <c r="C33" s="2" t="n">
        <v>651</v>
      </c>
      <c r="D33" s="2" t="n">
        <v>59</v>
      </c>
      <c r="E33" s="2" t="n">
        <v>153965</v>
      </c>
      <c r="F33" s="2" t="n">
        <v>50</v>
      </c>
      <c r="G33" s="2" t="n">
        <v>28580</v>
      </c>
      <c r="H33" s="2" t="n">
        <v>6980</v>
      </c>
      <c r="I33" s="2" t="n">
        <v>21</v>
      </c>
    </row>
    <row r="34">
      <c r="A34" s="2" t="inlineStr">
        <is>
          <t>Solo20</t>
        </is>
      </c>
      <c r="B34" s="2" t="n">
        <v>33</v>
      </c>
      <c r="C34" s="2" t="n">
        <v>671</v>
      </c>
      <c r="D34" s="2" t="n">
        <v>60</v>
      </c>
      <c r="E34" s="2" t="n">
        <v>158523</v>
      </c>
      <c r="F34" s="2" t="n">
        <v>50</v>
      </c>
      <c r="G34" s="2" t="n">
        <v>28970</v>
      </c>
      <c r="H34" s="2" t="n">
        <v>7370</v>
      </c>
      <c r="I34" s="2" t="n">
        <v>21</v>
      </c>
    </row>
    <row r="35">
      <c r="A35" s="2" t="inlineStr">
        <is>
          <t>Solo20</t>
        </is>
      </c>
      <c r="B35" s="2" t="n">
        <v>34</v>
      </c>
      <c r="C35" s="2" t="n">
        <v>692</v>
      </c>
      <c r="D35" s="2" t="n">
        <v>60</v>
      </c>
      <c r="E35" s="2" t="n">
        <v>163181</v>
      </c>
      <c r="F35" s="2" t="n">
        <v>50</v>
      </c>
      <c r="G35" s="2" t="n">
        <v>29410</v>
      </c>
      <c r="H35" s="2" t="n">
        <v>7810</v>
      </c>
      <c r="I35" s="2" t="n">
        <v>21</v>
      </c>
    </row>
    <row r="36">
      <c r="A36" s="2" t="inlineStr">
        <is>
          <t>Solo20</t>
        </is>
      </c>
      <c r="B36" s="2" t="n">
        <v>35</v>
      </c>
      <c r="C36" s="2" t="n">
        <v>712</v>
      </c>
      <c r="D36" s="2" t="n">
        <v>61</v>
      </c>
      <c r="E36" s="2" t="n">
        <v>168040</v>
      </c>
      <c r="F36" s="2" t="n">
        <v>50</v>
      </c>
      <c r="G36" s="2" t="n">
        <v>29950</v>
      </c>
      <c r="H36" s="2" t="n">
        <v>350</v>
      </c>
      <c r="I36" s="2" t="n">
        <v>22</v>
      </c>
    </row>
    <row r="37">
      <c r="A37" s="2" t="inlineStr">
        <is>
          <t>Solo20</t>
        </is>
      </c>
      <c r="B37" s="2" t="n">
        <v>36</v>
      </c>
      <c r="C37" s="2" t="n">
        <v>732</v>
      </c>
      <c r="D37" s="2" t="n">
        <v>62</v>
      </c>
      <c r="E37" s="2" t="n">
        <v>173298</v>
      </c>
      <c r="F37" s="2" t="n">
        <v>50</v>
      </c>
      <c r="G37" s="2" t="n">
        <v>30440</v>
      </c>
      <c r="H37" s="2" t="n">
        <v>840</v>
      </c>
      <c r="I37" s="2" t="n">
        <v>22</v>
      </c>
    </row>
    <row r="38">
      <c r="A38" s="2" t="inlineStr">
        <is>
          <t>Solo20</t>
        </is>
      </c>
      <c r="B38" s="2" t="n">
        <v>37</v>
      </c>
      <c r="C38" s="2" t="n">
        <v>753</v>
      </c>
      <c r="D38" s="2" t="n">
        <v>63</v>
      </c>
      <c r="E38" s="2" t="n">
        <v>178606</v>
      </c>
      <c r="F38" s="2" t="n">
        <v>50</v>
      </c>
      <c r="G38" s="2" t="n">
        <v>30955</v>
      </c>
      <c r="H38" s="2" t="n">
        <v>1355</v>
      </c>
      <c r="I38" s="2" t="n">
        <v>22</v>
      </c>
    </row>
    <row r="39">
      <c r="A39" s="2" t="inlineStr">
        <is>
          <t>Solo20</t>
        </is>
      </c>
      <c r="B39" s="2" t="n">
        <v>38</v>
      </c>
      <c r="C39" s="2" t="n">
        <v>773</v>
      </c>
      <c r="D39" s="2" t="n">
        <v>64</v>
      </c>
      <c r="E39" s="2" t="n">
        <v>183064</v>
      </c>
      <c r="F39" s="2" t="n">
        <v>50</v>
      </c>
      <c r="G39" s="2" t="n">
        <v>31295</v>
      </c>
      <c r="H39" s="2" t="n">
        <v>1695</v>
      </c>
      <c r="I39" s="2" t="n">
        <v>22</v>
      </c>
    </row>
    <row r="40">
      <c r="A40" s="2" t="inlineStr">
        <is>
          <t>Solo20</t>
        </is>
      </c>
      <c r="B40" s="2" t="n">
        <v>39</v>
      </c>
      <c r="C40" s="2" t="n">
        <v>793</v>
      </c>
      <c r="D40" s="2" t="n">
        <v>64</v>
      </c>
      <c r="E40" s="2" t="n">
        <v>187573</v>
      </c>
      <c r="F40" s="2" t="n">
        <v>50</v>
      </c>
      <c r="G40" s="2" t="n">
        <v>31660</v>
      </c>
      <c r="H40" s="2" t="n">
        <v>2060</v>
      </c>
      <c r="I40" s="2" t="n">
        <v>22</v>
      </c>
    </row>
    <row r="41">
      <c r="A41" s="2" t="inlineStr">
        <is>
          <t>Solo20</t>
        </is>
      </c>
      <c r="B41" s="2" t="n">
        <v>40</v>
      </c>
      <c r="C41" s="2" t="n">
        <v>814</v>
      </c>
      <c r="D41" s="2" t="n">
        <v>65</v>
      </c>
      <c r="E41" s="2" t="n">
        <v>192131</v>
      </c>
      <c r="F41" s="2" t="n">
        <v>50</v>
      </c>
      <c r="G41" s="2" t="n">
        <v>32050</v>
      </c>
      <c r="H41" s="2" t="n">
        <v>2450</v>
      </c>
      <c r="I41" s="2" t="n">
        <v>22</v>
      </c>
    </row>
    <row r="42">
      <c r="A42" s="2" t="inlineStr">
        <is>
          <t>Solo20</t>
        </is>
      </c>
      <c r="B42" s="2" t="n">
        <v>41</v>
      </c>
      <c r="C42" s="2" t="n">
        <v>834</v>
      </c>
      <c r="D42" s="2" t="n">
        <v>66</v>
      </c>
      <c r="E42" s="2" t="n">
        <v>196789</v>
      </c>
      <c r="F42" s="2" t="n">
        <v>50</v>
      </c>
      <c r="G42" s="2" t="n">
        <v>32490</v>
      </c>
      <c r="H42" s="2" t="n">
        <v>2890</v>
      </c>
      <c r="I42" s="2" t="n">
        <v>22</v>
      </c>
    </row>
    <row r="43">
      <c r="A43" s="2" t="inlineStr">
        <is>
          <t>Solo20</t>
        </is>
      </c>
      <c r="B43" s="2" t="n">
        <v>42</v>
      </c>
      <c r="C43" s="2" t="n">
        <v>855</v>
      </c>
      <c r="D43" s="2" t="n">
        <v>66</v>
      </c>
      <c r="E43" s="2" t="n">
        <v>201647</v>
      </c>
      <c r="F43" s="2" t="n">
        <v>50</v>
      </c>
      <c r="G43" s="2" t="n">
        <v>33030</v>
      </c>
      <c r="H43" s="2" t="n">
        <v>3430</v>
      </c>
      <c r="I43" s="2" t="n">
        <v>22</v>
      </c>
    </row>
    <row r="44">
      <c r="A44" s="2" t="inlineStr">
        <is>
          <t>Solo20</t>
        </is>
      </c>
      <c r="B44" s="2" t="n">
        <v>43</v>
      </c>
      <c r="C44" s="2" t="n">
        <v>875</v>
      </c>
      <c r="D44" s="2" t="n">
        <v>67</v>
      </c>
      <c r="E44" s="2" t="n">
        <v>207806</v>
      </c>
      <c r="F44" s="2" t="n">
        <v>50</v>
      </c>
      <c r="G44" s="2" t="n">
        <v>33720</v>
      </c>
      <c r="H44" s="2" t="n">
        <v>4120</v>
      </c>
      <c r="I44" s="2" t="n">
        <v>22</v>
      </c>
    </row>
    <row r="45">
      <c r="A45" s="2" t="inlineStr">
        <is>
          <t>Solo20</t>
        </is>
      </c>
      <c r="B45" s="2" t="n">
        <v>44</v>
      </c>
      <c r="C45" s="2" t="n">
        <v>895</v>
      </c>
      <c r="D45" s="2" t="n">
        <v>68</v>
      </c>
      <c r="E45" s="2" t="n">
        <v>212214</v>
      </c>
      <c r="F45" s="2" t="n">
        <v>50</v>
      </c>
      <c r="G45" s="2" t="n">
        <v>34035</v>
      </c>
      <c r="H45" s="2" t="n">
        <v>4435</v>
      </c>
      <c r="I45" s="2" t="n">
        <v>22</v>
      </c>
    </row>
    <row r="46">
      <c r="A46" s="2" t="inlineStr">
        <is>
          <t>Solo20</t>
        </is>
      </c>
      <c r="B46" s="2" t="n">
        <v>45</v>
      </c>
      <c r="C46" s="2" t="n">
        <v>916</v>
      </c>
      <c r="D46" s="2" t="n">
        <v>68</v>
      </c>
      <c r="E46" s="2" t="n">
        <v>216672</v>
      </c>
      <c r="F46" s="2" t="n">
        <v>50</v>
      </c>
      <c r="G46" s="2" t="n">
        <v>34375</v>
      </c>
      <c r="H46" s="2" t="n">
        <v>4775</v>
      </c>
      <c r="I46" s="2" t="n">
        <v>22</v>
      </c>
    </row>
    <row r="47">
      <c r="A47" s="2" t="inlineStr">
        <is>
          <t>Solo20</t>
        </is>
      </c>
      <c r="B47" s="2" t="n">
        <v>46</v>
      </c>
      <c r="C47" s="2" t="n">
        <v>936</v>
      </c>
      <c r="D47" s="2" t="n">
        <v>69</v>
      </c>
      <c r="E47" s="2" t="n">
        <v>221181</v>
      </c>
      <c r="F47" s="2" t="n">
        <v>50</v>
      </c>
      <c r="G47" s="2" t="n">
        <v>34740</v>
      </c>
      <c r="H47" s="2" t="n">
        <v>5140</v>
      </c>
      <c r="I47" s="2" t="n">
        <v>22</v>
      </c>
    </row>
    <row r="48">
      <c r="A48" s="2" t="inlineStr">
        <is>
          <t>Solo20</t>
        </is>
      </c>
      <c r="B48" s="2" t="n">
        <v>47</v>
      </c>
      <c r="C48" s="2" t="n">
        <v>956</v>
      </c>
      <c r="D48" s="2" t="n">
        <v>69</v>
      </c>
      <c r="E48" s="2" t="n">
        <v>225739</v>
      </c>
      <c r="F48" s="2" t="n">
        <v>50</v>
      </c>
      <c r="G48" s="2" t="n">
        <v>35130</v>
      </c>
      <c r="H48" s="2" t="n">
        <v>5530</v>
      </c>
      <c r="I48" s="2" t="n">
        <v>22</v>
      </c>
    </row>
    <row r="49">
      <c r="A49" s="2" t="inlineStr">
        <is>
          <t>Solo20</t>
        </is>
      </c>
      <c r="B49" s="2" t="n">
        <v>48</v>
      </c>
      <c r="C49" s="2" t="n">
        <v>977</v>
      </c>
      <c r="D49" s="2" t="n">
        <v>70</v>
      </c>
      <c r="E49" s="2" t="n">
        <v>230397</v>
      </c>
      <c r="F49" s="2" t="n">
        <v>50</v>
      </c>
      <c r="G49" s="2" t="n">
        <v>35570</v>
      </c>
      <c r="H49" s="2" t="n">
        <v>5970</v>
      </c>
      <c r="I49" s="2" t="n">
        <v>22</v>
      </c>
    </row>
    <row r="50">
      <c r="A50" s="2" t="inlineStr">
        <is>
          <t>Solo20</t>
        </is>
      </c>
      <c r="B50" s="2" t="n">
        <v>49</v>
      </c>
      <c r="C50" s="2" t="n">
        <v>997</v>
      </c>
      <c r="D50" s="2" t="n">
        <v>71</v>
      </c>
      <c r="E50" s="2" t="n">
        <v>235255</v>
      </c>
      <c r="F50" s="2" t="n">
        <v>50</v>
      </c>
      <c r="G50" s="2" t="n">
        <v>36110</v>
      </c>
      <c r="H50" s="2" t="n">
        <v>6510</v>
      </c>
      <c r="I50" s="2" t="n">
        <v>22</v>
      </c>
    </row>
    <row r="51">
      <c r="A51" s="2" t="inlineStr">
        <is>
          <t>Solo20</t>
        </is>
      </c>
      <c r="B51" s="2" t="n">
        <v>50</v>
      </c>
      <c r="C51" s="2" t="n">
        <v>1017</v>
      </c>
      <c r="D51" s="2" t="n">
        <v>71</v>
      </c>
      <c r="E51" s="2" t="n">
        <v>241414</v>
      </c>
      <c r="F51" s="2" t="n">
        <v>50</v>
      </c>
      <c r="G51" s="2" t="n">
        <v>36800</v>
      </c>
      <c r="H51" s="2" t="n">
        <v>7200</v>
      </c>
      <c r="I51" s="2" t="n">
        <v>22</v>
      </c>
    </row>
    <row r="52">
      <c r="A52" s="2" t="inlineStr">
        <is>
          <t>Solo20</t>
        </is>
      </c>
      <c r="B52" s="2" t="n">
        <v>51</v>
      </c>
      <c r="C52" s="2" t="n">
        <v>1038</v>
      </c>
      <c r="D52" s="2" t="n">
        <v>72</v>
      </c>
      <c r="E52" s="2" t="n">
        <v>245822</v>
      </c>
      <c r="F52" s="2" t="n">
        <v>50</v>
      </c>
      <c r="G52" s="2" t="n">
        <v>37115</v>
      </c>
      <c r="H52" s="2" t="n">
        <v>7515</v>
      </c>
      <c r="I52" s="2" t="n">
        <v>22</v>
      </c>
    </row>
    <row r="53">
      <c r="A53" s="2" t="inlineStr">
        <is>
          <t>Solo20</t>
        </is>
      </c>
      <c r="B53" s="2" t="n">
        <v>52</v>
      </c>
      <c r="C53" s="2" t="n">
        <v>1058</v>
      </c>
      <c r="D53" s="2" t="n">
        <v>73</v>
      </c>
      <c r="E53" s="2" t="n">
        <v>250280</v>
      </c>
      <c r="F53" s="2" t="n">
        <v>50</v>
      </c>
      <c r="G53" s="2" t="n">
        <v>37455</v>
      </c>
      <c r="H53" s="2" t="n">
        <v>7855</v>
      </c>
      <c r="I53" s="2" t="n">
        <v>22</v>
      </c>
    </row>
    <row r="54">
      <c r="A54" s="2" t="inlineStr">
        <is>
          <t>Solo20</t>
        </is>
      </c>
      <c r="B54" s="2" t="n">
        <v>53</v>
      </c>
      <c r="C54" s="2" t="n">
        <v>1078</v>
      </c>
      <c r="D54" s="2" t="n">
        <v>73</v>
      </c>
      <c r="E54" s="2" t="n">
        <v>254788</v>
      </c>
      <c r="F54" s="2" t="n">
        <v>50</v>
      </c>
      <c r="G54" s="2" t="n">
        <v>37820</v>
      </c>
      <c r="H54" s="2" t="n">
        <v>8220</v>
      </c>
      <c r="I54" s="2" t="n">
        <v>22</v>
      </c>
    </row>
    <row r="55">
      <c r="A55" s="2" t="inlineStr">
        <is>
          <t>Solo20</t>
        </is>
      </c>
      <c r="B55" s="2" t="n">
        <v>54</v>
      </c>
      <c r="C55" s="2" t="n">
        <v>1099</v>
      </c>
      <c r="D55" s="2" t="n">
        <v>74</v>
      </c>
      <c r="E55" s="2" t="n">
        <v>259347</v>
      </c>
      <c r="F55" s="2" t="n">
        <v>50</v>
      </c>
      <c r="G55" s="2" t="n">
        <v>38210</v>
      </c>
      <c r="H55" s="2" t="n">
        <v>8610</v>
      </c>
      <c r="I55" s="2" t="n">
        <v>22</v>
      </c>
    </row>
    <row r="56">
      <c r="A56" s="2" t="inlineStr">
        <is>
          <t>Solo20</t>
        </is>
      </c>
      <c r="B56" s="2" t="n">
        <v>55</v>
      </c>
      <c r="C56" s="2" t="n">
        <v>1119</v>
      </c>
      <c r="D56" s="2" t="n">
        <v>74</v>
      </c>
      <c r="E56" s="2" t="n">
        <v>264005</v>
      </c>
      <c r="F56" s="2" t="n">
        <v>50</v>
      </c>
      <c r="G56" s="2" t="n">
        <v>38650</v>
      </c>
      <c r="H56" s="2" t="n">
        <v>1050</v>
      </c>
      <c r="I56" s="2" t="n">
        <v>23</v>
      </c>
    </row>
    <row r="57">
      <c r="A57" s="2" t="inlineStr">
        <is>
          <t>Solo20</t>
        </is>
      </c>
      <c r="B57" s="2" t="n">
        <v>56</v>
      </c>
      <c r="C57" s="2" t="n">
        <v>1139</v>
      </c>
      <c r="D57" s="2" t="n">
        <v>75</v>
      </c>
      <c r="E57" s="2" t="n">
        <v>268863</v>
      </c>
      <c r="F57" s="2" t="n">
        <v>50</v>
      </c>
      <c r="G57" s="2" t="n">
        <v>39190</v>
      </c>
      <c r="H57" s="2" t="n">
        <v>1590</v>
      </c>
      <c r="I57" s="2" t="n">
        <v>23</v>
      </c>
    </row>
    <row r="58">
      <c r="A58" s="2" t="inlineStr">
        <is>
          <t>Solo20</t>
        </is>
      </c>
      <c r="B58" s="2" t="n">
        <v>57</v>
      </c>
      <c r="C58" s="2" t="n">
        <v>1160</v>
      </c>
      <c r="D58" s="2" t="n">
        <v>76</v>
      </c>
      <c r="E58" s="2" t="n">
        <v>275022</v>
      </c>
      <c r="F58" s="2" t="n">
        <v>50</v>
      </c>
      <c r="G58" s="2" t="n">
        <v>39880</v>
      </c>
      <c r="H58" s="2" t="n">
        <v>2280</v>
      </c>
      <c r="I58" s="2" t="n">
        <v>23</v>
      </c>
    </row>
    <row r="59">
      <c r="A59" s="2" t="inlineStr">
        <is>
          <t>Solo20</t>
        </is>
      </c>
      <c r="B59" s="2" t="n">
        <v>58</v>
      </c>
      <c r="C59" s="2" t="n">
        <v>1180</v>
      </c>
      <c r="D59" s="2" t="n">
        <v>76</v>
      </c>
      <c r="E59" s="2" t="n">
        <v>279430</v>
      </c>
      <c r="F59" s="2" t="n">
        <v>50</v>
      </c>
      <c r="G59" s="2" t="n">
        <v>40195</v>
      </c>
      <c r="H59" s="2" t="n">
        <v>2595</v>
      </c>
      <c r="I59" s="2" t="n">
        <v>23</v>
      </c>
    </row>
    <row r="60">
      <c r="A60" s="2" t="inlineStr">
        <is>
          <t>Solo20</t>
        </is>
      </c>
      <c r="B60" s="2" t="n">
        <v>59</v>
      </c>
      <c r="C60" s="2" t="n">
        <v>1200</v>
      </c>
      <c r="D60" s="2" t="n">
        <v>77</v>
      </c>
      <c r="E60" s="2" t="n">
        <v>283888</v>
      </c>
      <c r="F60" s="2" t="n">
        <v>50</v>
      </c>
      <c r="G60" s="2" t="n">
        <v>40535</v>
      </c>
      <c r="H60" s="2" t="n">
        <v>2935</v>
      </c>
      <c r="I60" s="2" t="n">
        <v>23</v>
      </c>
    </row>
    <row r="61">
      <c r="A61" s="2" t="inlineStr">
        <is>
          <t>Solo20</t>
        </is>
      </c>
      <c r="B61" s="2" t="n">
        <v>60</v>
      </c>
      <c r="C61" s="2" t="n">
        <v>1221</v>
      </c>
      <c r="D61" s="2" t="n">
        <v>77</v>
      </c>
      <c r="E61" s="2" t="n">
        <v>288396</v>
      </c>
      <c r="F61" s="2" t="n">
        <v>50</v>
      </c>
      <c r="G61" s="2" t="n">
        <v>40900</v>
      </c>
      <c r="H61" s="2" t="n">
        <v>3300</v>
      </c>
      <c r="I61" s="2" t="n">
        <v>23</v>
      </c>
    </row>
    <row r="62">
      <c r="A62" s="2" t="inlineStr">
        <is>
          <t>Pvp20</t>
        </is>
      </c>
      <c r="B62" s="2" t="n">
        <v>1</v>
      </c>
      <c r="C62" s="2" t="n">
        <v>21</v>
      </c>
      <c r="D62" s="2" t="n">
        <v>12</v>
      </c>
      <c r="E62" s="2" t="n">
        <v>4246</v>
      </c>
      <c r="F62" s="2" t="n">
        <v>17</v>
      </c>
      <c r="G62" s="2" t="n">
        <v>2220</v>
      </c>
      <c r="H62" s="2" t="n">
        <v>1020</v>
      </c>
      <c r="I62" s="2" t="n">
        <v>5</v>
      </c>
    </row>
    <row r="63">
      <c r="A63" s="2" t="inlineStr">
        <is>
          <t>Pvp20</t>
        </is>
      </c>
      <c r="B63" s="2" t="n">
        <v>2</v>
      </c>
      <c r="C63" s="2" t="n">
        <v>42</v>
      </c>
      <c r="D63" s="2" t="n">
        <v>17</v>
      </c>
      <c r="E63" s="2" t="n">
        <v>9191</v>
      </c>
      <c r="F63" s="2" t="n">
        <v>27</v>
      </c>
      <c r="G63" s="2" t="n">
        <v>5065</v>
      </c>
      <c r="H63" s="2" t="n">
        <v>1465</v>
      </c>
      <c r="I63" s="2" t="n">
        <v>9</v>
      </c>
    </row>
    <row r="64">
      <c r="A64" s="2" t="inlineStr">
        <is>
          <t>Pvp20</t>
        </is>
      </c>
      <c r="B64" s="2" t="n">
        <v>3</v>
      </c>
      <c r="C64" s="2" t="n">
        <v>62</v>
      </c>
      <c r="D64" s="2" t="n">
        <v>20</v>
      </c>
      <c r="E64" s="2" t="n">
        <v>13287</v>
      </c>
      <c r="F64" s="2" t="n">
        <v>33</v>
      </c>
      <c r="G64" s="2" t="n">
        <v>7625</v>
      </c>
      <c r="H64" s="2" t="n">
        <v>1625</v>
      </c>
      <c r="I64" s="2" t="n">
        <v>12</v>
      </c>
    </row>
    <row r="65">
      <c r="A65" s="2" t="inlineStr">
        <is>
          <t>Pvp20</t>
        </is>
      </c>
      <c r="B65" s="2" t="n">
        <v>4</v>
      </c>
      <c r="C65" s="2" t="n">
        <v>83</v>
      </c>
      <c r="D65" s="2" t="n">
        <v>24</v>
      </c>
      <c r="E65" s="2" t="n">
        <v>18582</v>
      </c>
      <c r="F65" s="2" t="n">
        <v>39</v>
      </c>
      <c r="G65" s="2" t="n">
        <v>10990</v>
      </c>
      <c r="H65" s="2" t="n">
        <v>990</v>
      </c>
      <c r="I65" s="2" t="n">
        <v>14</v>
      </c>
    </row>
    <row r="66">
      <c r="A66" s="2" t="inlineStr">
        <is>
          <t>Pvp20</t>
        </is>
      </c>
      <c r="B66" s="2" t="n">
        <v>5</v>
      </c>
      <c r="C66" s="2" t="n">
        <v>104</v>
      </c>
      <c r="D66" s="2" t="n">
        <v>26</v>
      </c>
      <c r="E66" s="2" t="n">
        <v>22778</v>
      </c>
      <c r="F66" s="2" t="n">
        <v>44</v>
      </c>
      <c r="G66" s="2" t="n">
        <v>14400</v>
      </c>
      <c r="H66" s="2" t="n">
        <v>2600</v>
      </c>
      <c r="I66" s="2" t="n">
        <v>16</v>
      </c>
    </row>
    <row r="67">
      <c r="A67" s="2" t="inlineStr">
        <is>
          <t>Pvp20</t>
        </is>
      </c>
      <c r="B67" s="2" t="n">
        <v>6</v>
      </c>
      <c r="C67" s="2" t="n">
        <v>125</v>
      </c>
      <c r="D67" s="2" t="n">
        <v>28</v>
      </c>
      <c r="E67" s="2" t="n">
        <v>26823</v>
      </c>
      <c r="F67" s="2" t="n">
        <v>48</v>
      </c>
      <c r="G67" s="2" t="n">
        <v>17810</v>
      </c>
      <c r="H67" s="2" t="n">
        <v>210</v>
      </c>
      <c r="I67" s="2" t="n">
        <v>19</v>
      </c>
    </row>
    <row r="68">
      <c r="A68" s="2" t="inlineStr">
        <is>
          <t>Pvp20</t>
        </is>
      </c>
      <c r="B68" s="2" t="n">
        <v>7</v>
      </c>
      <c r="C68" s="2" t="n">
        <v>146</v>
      </c>
      <c r="D68" s="2" t="n">
        <v>30</v>
      </c>
      <c r="E68" s="2" t="n">
        <v>31569</v>
      </c>
      <c r="F68" s="2" t="n">
        <v>50</v>
      </c>
      <c r="G68" s="2" t="n">
        <v>19970</v>
      </c>
      <c r="H68" s="2" t="n">
        <v>2370</v>
      </c>
      <c r="I68" s="2" t="n">
        <v>20</v>
      </c>
    </row>
    <row r="69">
      <c r="A69" s="2" t="inlineStr">
        <is>
          <t>Pvp20</t>
        </is>
      </c>
      <c r="B69" s="2" t="n">
        <v>8</v>
      </c>
      <c r="C69" s="2" t="n">
        <v>166</v>
      </c>
      <c r="D69" s="2" t="n">
        <v>31</v>
      </c>
      <c r="E69" s="2" t="n">
        <v>35564</v>
      </c>
      <c r="F69" s="2" t="n">
        <v>50</v>
      </c>
      <c r="G69" s="2" t="n">
        <v>20580</v>
      </c>
      <c r="H69" s="2" t="n">
        <v>2980</v>
      </c>
      <c r="I69" s="2" t="n">
        <v>20</v>
      </c>
    </row>
    <row r="70">
      <c r="A70" s="2" t="inlineStr">
        <is>
          <t>Pvp20</t>
        </is>
      </c>
      <c r="B70" s="2" t="n">
        <v>9</v>
      </c>
      <c r="C70" s="2" t="n">
        <v>187</v>
      </c>
      <c r="D70" s="2" t="n">
        <v>33</v>
      </c>
      <c r="E70" s="2" t="n">
        <v>40510</v>
      </c>
      <c r="F70" s="2" t="n">
        <v>50</v>
      </c>
      <c r="G70" s="2" t="n">
        <v>21415</v>
      </c>
      <c r="H70" s="2" t="n">
        <v>3815</v>
      </c>
      <c r="I70" s="2" t="n">
        <v>20</v>
      </c>
    </row>
    <row r="71">
      <c r="A71" s="2" t="inlineStr">
        <is>
          <t>Pvp20</t>
        </is>
      </c>
      <c r="B71" s="2" t="n">
        <v>10</v>
      </c>
      <c r="C71" s="2" t="n">
        <v>208</v>
      </c>
      <c r="D71" s="2" t="n">
        <v>35</v>
      </c>
      <c r="E71" s="2" t="n">
        <v>44605</v>
      </c>
      <c r="F71" s="2" t="n">
        <v>50</v>
      </c>
      <c r="G71" s="2" t="n">
        <v>22075</v>
      </c>
      <c r="H71" s="2" t="n">
        <v>475</v>
      </c>
      <c r="I71" s="2" t="n">
        <v>21</v>
      </c>
    </row>
    <row r="72">
      <c r="A72" s="2" t="inlineStr">
        <is>
          <t>Pvp20</t>
        </is>
      </c>
      <c r="B72" s="2" t="n">
        <v>11</v>
      </c>
      <c r="C72" s="2" t="n">
        <v>229</v>
      </c>
      <c r="D72" s="2" t="n">
        <v>36</v>
      </c>
      <c r="E72" s="2" t="n">
        <v>49651</v>
      </c>
      <c r="F72" s="2" t="n">
        <v>50</v>
      </c>
      <c r="G72" s="2" t="n">
        <v>22960</v>
      </c>
      <c r="H72" s="2" t="n">
        <v>1360</v>
      </c>
      <c r="I72" s="2" t="n">
        <v>21</v>
      </c>
    </row>
    <row r="73">
      <c r="A73" s="2" t="inlineStr">
        <is>
          <t>Pvp20</t>
        </is>
      </c>
      <c r="B73" s="2" t="n">
        <v>12</v>
      </c>
      <c r="C73" s="2" t="n">
        <v>250</v>
      </c>
      <c r="D73" s="2" t="n">
        <v>38</v>
      </c>
      <c r="E73" s="2" t="n">
        <v>53847</v>
      </c>
      <c r="F73" s="2" t="n">
        <v>50</v>
      </c>
      <c r="G73" s="2" t="n">
        <v>23670</v>
      </c>
      <c r="H73" s="2" t="n">
        <v>2070</v>
      </c>
      <c r="I73" s="2" t="n">
        <v>21</v>
      </c>
    </row>
    <row r="74">
      <c r="A74" s="2" t="inlineStr">
        <is>
          <t>Pvp20</t>
        </is>
      </c>
      <c r="B74" s="2" t="n">
        <v>13</v>
      </c>
      <c r="C74" s="2" t="n">
        <v>270</v>
      </c>
      <c r="D74" s="2" t="n">
        <v>39</v>
      </c>
      <c r="E74" s="2" t="n">
        <v>58142</v>
      </c>
      <c r="F74" s="2" t="n">
        <v>50</v>
      </c>
      <c r="G74" s="2" t="n">
        <v>24430</v>
      </c>
      <c r="H74" s="2" t="n">
        <v>2830</v>
      </c>
      <c r="I74" s="2" t="n">
        <v>21</v>
      </c>
    </row>
    <row r="75">
      <c r="A75" s="2" t="inlineStr">
        <is>
          <t>Pvp20</t>
        </is>
      </c>
      <c r="B75" s="2" t="n">
        <v>14</v>
      </c>
      <c r="C75" s="2" t="n">
        <v>291</v>
      </c>
      <c r="D75" s="2" t="n">
        <v>40</v>
      </c>
      <c r="E75" s="2" t="n">
        <v>62888</v>
      </c>
      <c r="F75" s="2" t="n">
        <v>50</v>
      </c>
      <c r="G75" s="2" t="n">
        <v>25340</v>
      </c>
      <c r="H75" s="2" t="n">
        <v>3740</v>
      </c>
      <c r="I75" s="2" t="n">
        <v>21</v>
      </c>
    </row>
    <row r="76">
      <c r="A76" s="2" t="inlineStr">
        <is>
          <t>Pvp20</t>
        </is>
      </c>
      <c r="B76" s="2" t="n">
        <v>15</v>
      </c>
      <c r="C76" s="2" t="n">
        <v>312</v>
      </c>
      <c r="D76" s="2" t="n">
        <v>42</v>
      </c>
      <c r="E76" s="2" t="n">
        <v>68033</v>
      </c>
      <c r="F76" s="2" t="n">
        <v>50</v>
      </c>
      <c r="G76" s="2" t="n">
        <v>26200</v>
      </c>
      <c r="H76" s="2" t="n">
        <v>4600</v>
      </c>
      <c r="I76" s="2" t="n">
        <v>21</v>
      </c>
    </row>
    <row r="77">
      <c r="A77" s="2" t="inlineStr">
        <is>
          <t>Pvp20</t>
        </is>
      </c>
      <c r="B77" s="2" t="n">
        <v>16</v>
      </c>
      <c r="C77" s="2" t="n">
        <v>333</v>
      </c>
      <c r="D77" s="2" t="n">
        <v>43</v>
      </c>
      <c r="E77" s="2" t="n">
        <v>72979</v>
      </c>
      <c r="F77" s="2" t="n">
        <v>50</v>
      </c>
      <c r="G77" s="2" t="n">
        <v>27035</v>
      </c>
      <c r="H77" s="2" t="n">
        <v>5435</v>
      </c>
      <c r="I77" s="2" t="n">
        <v>21</v>
      </c>
    </row>
    <row r="78">
      <c r="A78" s="2" t="inlineStr">
        <is>
          <t>Pvp20</t>
        </is>
      </c>
      <c r="B78" s="2" t="n">
        <v>17</v>
      </c>
      <c r="C78" s="2" t="n">
        <v>354</v>
      </c>
      <c r="D78" s="2" t="n">
        <v>44</v>
      </c>
      <c r="E78" s="2" t="n">
        <v>77324</v>
      </c>
      <c r="F78" s="2" t="n">
        <v>50</v>
      </c>
      <c r="G78" s="2" t="n">
        <v>27745</v>
      </c>
      <c r="H78" s="2" t="n">
        <v>6145</v>
      </c>
      <c r="I78" s="2" t="n">
        <v>21</v>
      </c>
    </row>
    <row r="79">
      <c r="A79" s="2" t="inlineStr">
        <is>
          <t>Pvp20</t>
        </is>
      </c>
      <c r="B79" s="2" t="n">
        <v>18</v>
      </c>
      <c r="C79" s="2" t="n">
        <v>374</v>
      </c>
      <c r="D79" s="2" t="n">
        <v>45</v>
      </c>
      <c r="E79" s="2" t="n">
        <v>82370</v>
      </c>
      <c r="F79" s="2" t="n">
        <v>50</v>
      </c>
      <c r="G79" s="2" t="n">
        <v>28630</v>
      </c>
      <c r="H79" s="2" t="n">
        <v>7030</v>
      </c>
      <c r="I79" s="2" t="n">
        <v>21</v>
      </c>
    </row>
    <row r="80">
      <c r="A80" s="2" t="inlineStr">
        <is>
          <t>Pvp20</t>
        </is>
      </c>
      <c r="B80" s="2" t="n">
        <v>19</v>
      </c>
      <c r="C80" s="2" t="n">
        <v>395</v>
      </c>
      <c r="D80" s="2" t="n">
        <v>46</v>
      </c>
      <c r="E80" s="2" t="n">
        <v>86815</v>
      </c>
      <c r="F80" s="2" t="n">
        <v>50</v>
      </c>
      <c r="G80" s="2" t="n">
        <v>29390</v>
      </c>
      <c r="H80" s="2" t="n">
        <v>7790</v>
      </c>
      <c r="I80" s="2" t="n">
        <v>21</v>
      </c>
    </row>
    <row r="81">
      <c r="A81" s="2" t="inlineStr">
        <is>
          <t>Pvp20</t>
        </is>
      </c>
      <c r="B81" s="2" t="n">
        <v>20</v>
      </c>
      <c r="C81" s="2" t="n">
        <v>416</v>
      </c>
      <c r="D81" s="2" t="n">
        <v>47</v>
      </c>
      <c r="E81" s="2" t="n">
        <v>91111</v>
      </c>
      <c r="F81" s="2" t="n">
        <v>50</v>
      </c>
      <c r="G81" s="2" t="n">
        <v>30150</v>
      </c>
      <c r="H81" s="2" t="n">
        <v>550</v>
      </c>
      <c r="I81" s="2" t="n">
        <v>22</v>
      </c>
    </row>
    <row r="82">
      <c r="A82" s="2" t="inlineStr">
        <is>
          <t>Pvp20</t>
        </is>
      </c>
      <c r="B82" s="2" t="n">
        <v>21</v>
      </c>
      <c r="C82" s="2" t="n">
        <v>437</v>
      </c>
      <c r="D82" s="2" t="n">
        <v>48</v>
      </c>
      <c r="E82" s="2" t="n">
        <v>95356</v>
      </c>
      <c r="F82" s="2" t="n">
        <v>50</v>
      </c>
      <c r="G82" s="2" t="n">
        <v>30960</v>
      </c>
      <c r="H82" s="2" t="n">
        <v>1360</v>
      </c>
      <c r="I82" s="2" t="n">
        <v>22</v>
      </c>
    </row>
    <row r="83">
      <c r="A83" s="2" t="inlineStr">
        <is>
          <t>Pvp20</t>
        </is>
      </c>
      <c r="B83" s="2" t="n">
        <v>22</v>
      </c>
      <c r="C83" s="2" t="n">
        <v>458</v>
      </c>
      <c r="D83" s="2" t="n">
        <v>49</v>
      </c>
      <c r="E83" s="2" t="n">
        <v>99602</v>
      </c>
      <c r="F83" s="2" t="n">
        <v>50</v>
      </c>
      <c r="G83" s="2" t="n">
        <v>31620</v>
      </c>
      <c r="H83" s="2" t="n">
        <v>2020</v>
      </c>
      <c r="I83" s="2" t="n">
        <v>22</v>
      </c>
    </row>
    <row r="84">
      <c r="A84" s="2" t="inlineStr">
        <is>
          <t>Pvp20</t>
        </is>
      </c>
      <c r="B84" s="2" t="n">
        <v>23</v>
      </c>
      <c r="C84" s="2" t="n">
        <v>478</v>
      </c>
      <c r="D84" s="2" t="n">
        <v>50</v>
      </c>
      <c r="E84" s="2" t="n">
        <v>104548</v>
      </c>
      <c r="F84" s="2" t="n">
        <v>50</v>
      </c>
      <c r="G84" s="2" t="n">
        <v>32455</v>
      </c>
      <c r="H84" s="2" t="n">
        <v>2855</v>
      </c>
      <c r="I84" s="2" t="n">
        <v>22</v>
      </c>
    </row>
    <row r="85">
      <c r="A85" s="2" t="inlineStr">
        <is>
          <t>Pvp20</t>
        </is>
      </c>
      <c r="B85" s="2" t="n">
        <v>24</v>
      </c>
      <c r="C85" s="2" t="n">
        <v>499</v>
      </c>
      <c r="D85" s="2" t="n">
        <v>51</v>
      </c>
      <c r="E85" s="2" t="n">
        <v>108643</v>
      </c>
      <c r="F85" s="2" t="n">
        <v>50</v>
      </c>
      <c r="G85" s="2" t="n">
        <v>33115</v>
      </c>
      <c r="H85" s="2" t="n">
        <v>3515</v>
      </c>
      <c r="I85" s="2" t="n">
        <v>22</v>
      </c>
    </row>
    <row r="86">
      <c r="A86" s="2" t="inlineStr">
        <is>
          <t>Pvp20</t>
        </is>
      </c>
      <c r="B86" s="2" t="n">
        <v>25</v>
      </c>
      <c r="C86" s="2" t="n">
        <v>520</v>
      </c>
      <c r="D86" s="2" t="n">
        <v>52</v>
      </c>
      <c r="E86" s="2" t="n">
        <v>113939</v>
      </c>
      <c r="F86" s="2" t="n">
        <v>50</v>
      </c>
      <c r="G86" s="2" t="n">
        <v>34050</v>
      </c>
      <c r="H86" s="2" t="n">
        <v>4450</v>
      </c>
      <c r="I86" s="2" t="n">
        <v>22</v>
      </c>
    </row>
    <row r="87">
      <c r="A87" s="2" t="inlineStr">
        <is>
          <t>Pvp20</t>
        </is>
      </c>
      <c r="B87" s="2" t="n">
        <v>26</v>
      </c>
      <c r="C87" s="2" t="n">
        <v>541</v>
      </c>
      <c r="D87" s="2" t="n">
        <v>53</v>
      </c>
      <c r="E87" s="2" t="n">
        <v>118384</v>
      </c>
      <c r="F87" s="2" t="n">
        <v>50</v>
      </c>
      <c r="G87" s="2" t="n">
        <v>34810</v>
      </c>
      <c r="H87" s="2" t="n">
        <v>5210</v>
      </c>
      <c r="I87" s="2" t="n">
        <v>22</v>
      </c>
    </row>
    <row r="88">
      <c r="A88" s="2" t="inlineStr">
        <is>
          <t>Pvp20</t>
        </is>
      </c>
      <c r="B88" s="2" t="n">
        <v>27</v>
      </c>
      <c r="C88" s="2" t="n">
        <v>562</v>
      </c>
      <c r="D88" s="2" t="n">
        <v>54</v>
      </c>
      <c r="E88" s="2" t="n">
        <v>122680</v>
      </c>
      <c r="F88" s="2" t="n">
        <v>50</v>
      </c>
      <c r="G88" s="2" t="n">
        <v>35570</v>
      </c>
      <c r="H88" s="2" t="n">
        <v>5970</v>
      </c>
      <c r="I88" s="2" t="n">
        <v>22</v>
      </c>
    </row>
    <row r="89">
      <c r="A89" s="2" t="inlineStr">
        <is>
          <t>Pvp20</t>
        </is>
      </c>
      <c r="B89" s="2" t="n">
        <v>28</v>
      </c>
      <c r="C89" s="2" t="n">
        <v>582</v>
      </c>
      <c r="D89" s="2" t="n">
        <v>54</v>
      </c>
      <c r="E89" s="2" t="n">
        <v>127425</v>
      </c>
      <c r="F89" s="2" t="n">
        <v>50</v>
      </c>
      <c r="G89" s="2" t="n">
        <v>36480</v>
      </c>
      <c r="H89" s="2" t="n">
        <v>6880</v>
      </c>
      <c r="I89" s="2" t="n">
        <v>22</v>
      </c>
    </row>
    <row r="90">
      <c r="A90" s="2" t="inlineStr">
        <is>
          <t>Pvp20</t>
        </is>
      </c>
      <c r="B90" s="2" t="n">
        <v>29</v>
      </c>
      <c r="C90" s="2" t="n">
        <v>603</v>
      </c>
      <c r="D90" s="2" t="n">
        <v>55</v>
      </c>
      <c r="E90" s="2" t="n">
        <v>131421</v>
      </c>
      <c r="F90" s="2" t="n">
        <v>50</v>
      </c>
      <c r="G90" s="2" t="n">
        <v>37090</v>
      </c>
      <c r="H90" s="2" t="n">
        <v>7490</v>
      </c>
      <c r="I90" s="2" t="n">
        <v>22</v>
      </c>
    </row>
    <row r="91">
      <c r="A91" s="2" t="inlineStr">
        <is>
          <t>Pvp20</t>
        </is>
      </c>
      <c r="B91" s="2" t="n">
        <v>30</v>
      </c>
      <c r="C91" s="2" t="n">
        <v>624</v>
      </c>
      <c r="D91" s="2" t="n">
        <v>56</v>
      </c>
      <c r="E91" s="2" t="n">
        <v>136616</v>
      </c>
      <c r="F91" s="2" t="n">
        <v>50</v>
      </c>
      <c r="G91" s="2" t="n">
        <v>37975</v>
      </c>
      <c r="H91" s="2" t="n">
        <v>375</v>
      </c>
      <c r="I91" s="2" t="n">
        <v>23</v>
      </c>
    </row>
    <row r="92">
      <c r="A92" s="2" t="inlineStr">
        <is>
          <t>Pvp20</t>
        </is>
      </c>
      <c r="B92" s="2" t="n">
        <v>31</v>
      </c>
      <c r="C92" s="2" t="n">
        <v>645</v>
      </c>
      <c r="D92" s="2" t="n">
        <v>57</v>
      </c>
      <c r="E92" s="2" t="n">
        <v>140712</v>
      </c>
      <c r="F92" s="2" t="n">
        <v>50</v>
      </c>
      <c r="G92" s="2" t="n">
        <v>38635</v>
      </c>
      <c r="H92" s="2" t="n">
        <v>1035</v>
      </c>
      <c r="I92" s="2" t="n">
        <v>23</v>
      </c>
    </row>
    <row r="93">
      <c r="A93" s="2" t="inlineStr">
        <is>
          <t>Pvp20</t>
        </is>
      </c>
      <c r="B93" s="2" t="n">
        <v>32</v>
      </c>
      <c r="C93" s="2" t="n">
        <v>666</v>
      </c>
      <c r="D93" s="2" t="n">
        <v>58</v>
      </c>
      <c r="E93" s="2" t="n">
        <v>146008</v>
      </c>
      <c r="F93" s="2" t="n">
        <v>50</v>
      </c>
      <c r="G93" s="2" t="n">
        <v>39570</v>
      </c>
      <c r="H93" s="2" t="n">
        <v>1970</v>
      </c>
      <c r="I93" s="2" t="n">
        <v>23</v>
      </c>
    </row>
    <row r="94">
      <c r="A94" s="2" t="inlineStr">
        <is>
          <t>Pvp20</t>
        </is>
      </c>
      <c r="B94" s="2" t="n">
        <v>33</v>
      </c>
      <c r="C94" s="2" t="n">
        <v>686</v>
      </c>
      <c r="D94" s="2" t="n">
        <v>58</v>
      </c>
      <c r="E94" s="2" t="n">
        <v>150453</v>
      </c>
      <c r="F94" s="2" t="n">
        <v>50</v>
      </c>
      <c r="G94" s="2" t="n">
        <v>40330</v>
      </c>
      <c r="H94" s="2" t="n">
        <v>2730</v>
      </c>
      <c r="I94" s="2" t="n">
        <v>23</v>
      </c>
    </row>
    <row r="95">
      <c r="A95" s="2" t="inlineStr">
        <is>
          <t>Pvp20</t>
        </is>
      </c>
      <c r="B95" s="2" t="n">
        <v>34</v>
      </c>
      <c r="C95" s="2" t="n">
        <v>707</v>
      </c>
      <c r="D95" s="2" t="n">
        <v>59</v>
      </c>
      <c r="E95" s="2" t="n">
        <v>154999</v>
      </c>
      <c r="F95" s="2" t="n">
        <v>50</v>
      </c>
      <c r="G95" s="2" t="n">
        <v>41140</v>
      </c>
      <c r="H95" s="2" t="n">
        <v>3540</v>
      </c>
      <c r="I95" s="2" t="n">
        <v>23</v>
      </c>
    </row>
    <row r="96">
      <c r="A96" s="2" t="inlineStr">
        <is>
          <t>Pvp20</t>
        </is>
      </c>
      <c r="B96" s="2" t="n">
        <v>35</v>
      </c>
      <c r="C96" s="2" t="n">
        <v>728</v>
      </c>
      <c r="D96" s="2" t="n">
        <v>60</v>
      </c>
      <c r="E96" s="2" t="n">
        <v>159744</v>
      </c>
      <c r="F96" s="2" t="n">
        <v>50</v>
      </c>
      <c r="G96" s="2" t="n">
        <v>42050</v>
      </c>
      <c r="H96" s="2" t="n">
        <v>4450</v>
      </c>
      <c r="I96" s="2" t="n">
        <v>23</v>
      </c>
    </row>
    <row r="97">
      <c r="A97" s="2" t="inlineStr">
        <is>
          <t>Pvp20</t>
        </is>
      </c>
      <c r="B97" s="2" t="n">
        <v>36</v>
      </c>
      <c r="C97" s="2" t="n">
        <v>749</v>
      </c>
      <c r="D97" s="2" t="n">
        <v>61</v>
      </c>
      <c r="E97" s="2" t="n">
        <v>163990</v>
      </c>
      <c r="F97" s="2" t="n">
        <v>50</v>
      </c>
      <c r="G97" s="2" t="n">
        <v>42710</v>
      </c>
      <c r="H97" s="2" t="n">
        <v>5110</v>
      </c>
      <c r="I97" s="2" t="n">
        <v>23</v>
      </c>
    </row>
    <row r="98">
      <c r="A98" s="2" t="inlineStr">
        <is>
          <t>Pvp20</t>
        </is>
      </c>
      <c r="B98" s="2" t="n">
        <v>37</v>
      </c>
      <c r="C98" s="2" t="n">
        <v>770</v>
      </c>
      <c r="D98" s="2" t="n">
        <v>61</v>
      </c>
      <c r="E98" s="2" t="n">
        <v>168935</v>
      </c>
      <c r="F98" s="2" t="n">
        <v>50</v>
      </c>
      <c r="G98" s="2" t="n">
        <v>43545</v>
      </c>
      <c r="H98" s="2" t="n">
        <v>5945</v>
      </c>
      <c r="I98" s="2" t="n">
        <v>23</v>
      </c>
    </row>
    <row r="99">
      <c r="A99" s="2" t="inlineStr">
        <is>
          <t>Pvp20</t>
        </is>
      </c>
      <c r="B99" s="2" t="n">
        <v>38</v>
      </c>
      <c r="C99" s="2" t="n">
        <v>790</v>
      </c>
      <c r="D99" s="2" t="n">
        <v>62</v>
      </c>
      <c r="E99" s="2" t="n">
        <v>173281</v>
      </c>
      <c r="F99" s="2" t="n">
        <v>50</v>
      </c>
      <c r="G99" s="2" t="n">
        <v>44255</v>
      </c>
      <c r="H99" s="2" t="n">
        <v>6655</v>
      </c>
      <c r="I99" s="2" t="n">
        <v>23</v>
      </c>
    </row>
    <row r="100">
      <c r="A100" s="2" t="inlineStr">
        <is>
          <t>Pvp20</t>
        </is>
      </c>
      <c r="B100" s="2" t="n">
        <v>39</v>
      </c>
      <c r="C100" s="2" t="n">
        <v>811</v>
      </c>
      <c r="D100" s="2" t="n">
        <v>63</v>
      </c>
      <c r="E100" s="2" t="n">
        <v>178326</v>
      </c>
      <c r="F100" s="2" t="n">
        <v>50</v>
      </c>
      <c r="G100" s="2" t="n">
        <v>45140</v>
      </c>
      <c r="H100" s="2" t="n">
        <v>7540</v>
      </c>
      <c r="I100" s="2" t="n">
        <v>23</v>
      </c>
    </row>
    <row r="101">
      <c r="A101" s="2" t="inlineStr">
        <is>
          <t>Pvp20</t>
        </is>
      </c>
      <c r="B101" s="2" t="n">
        <v>40</v>
      </c>
      <c r="C101" s="2" t="n">
        <v>832</v>
      </c>
      <c r="D101" s="2" t="n">
        <v>63</v>
      </c>
      <c r="E101" s="2" t="n">
        <v>182772</v>
      </c>
      <c r="F101" s="2" t="n">
        <v>50</v>
      </c>
      <c r="G101" s="2" t="n">
        <v>45900</v>
      </c>
      <c r="H101" s="2" t="n">
        <v>300</v>
      </c>
      <c r="I101" s="2" t="n">
        <v>24</v>
      </c>
    </row>
    <row r="102">
      <c r="A102" s="2" t="inlineStr">
        <is>
          <t>Pvp20</t>
        </is>
      </c>
      <c r="B102" s="2" t="n">
        <v>41</v>
      </c>
      <c r="C102" s="2" t="n">
        <v>853</v>
      </c>
      <c r="D102" s="2" t="n">
        <v>64</v>
      </c>
      <c r="E102" s="2" t="n">
        <v>187317</v>
      </c>
      <c r="F102" s="2" t="n">
        <v>50</v>
      </c>
      <c r="G102" s="2" t="n">
        <v>46710</v>
      </c>
      <c r="H102" s="2" t="n">
        <v>1110</v>
      </c>
      <c r="I102" s="2" t="n">
        <v>24</v>
      </c>
    </row>
    <row r="103">
      <c r="A103" s="2" t="inlineStr">
        <is>
          <t>Pvp20</t>
        </is>
      </c>
      <c r="B103" s="2" t="n">
        <v>42</v>
      </c>
      <c r="C103" s="2" t="n">
        <v>874</v>
      </c>
      <c r="D103" s="2" t="n">
        <v>65</v>
      </c>
      <c r="E103" s="2" t="n">
        <v>191813</v>
      </c>
      <c r="F103" s="2" t="n">
        <v>50</v>
      </c>
      <c r="G103" s="2" t="n">
        <v>47570</v>
      </c>
      <c r="H103" s="2" t="n">
        <v>1970</v>
      </c>
      <c r="I103" s="2" t="n">
        <v>24</v>
      </c>
    </row>
    <row r="104">
      <c r="A104" s="2" t="inlineStr">
        <is>
          <t>Pvp20</t>
        </is>
      </c>
      <c r="B104" s="2" t="n">
        <v>43</v>
      </c>
      <c r="C104" s="2" t="n">
        <v>894</v>
      </c>
      <c r="D104" s="2" t="n">
        <v>65</v>
      </c>
      <c r="E104" s="2" t="n">
        <v>196709</v>
      </c>
      <c r="F104" s="2" t="n">
        <v>50</v>
      </c>
      <c r="G104" s="2" t="n">
        <v>48380</v>
      </c>
      <c r="H104" s="2" t="n">
        <v>2780</v>
      </c>
      <c r="I104" s="2" t="n">
        <v>24</v>
      </c>
    </row>
    <row r="105">
      <c r="A105" s="2" t="inlineStr">
        <is>
          <t>Pvp20</t>
        </is>
      </c>
      <c r="B105" s="2" t="n">
        <v>44</v>
      </c>
      <c r="C105" s="2" t="n">
        <v>915</v>
      </c>
      <c r="D105" s="2" t="n">
        <v>66</v>
      </c>
      <c r="E105" s="2" t="n">
        <v>201904</v>
      </c>
      <c r="F105" s="2" t="n">
        <v>50</v>
      </c>
      <c r="G105" s="2" t="n">
        <v>49265</v>
      </c>
      <c r="H105" s="2" t="n">
        <v>3665</v>
      </c>
      <c r="I105" s="2" t="n">
        <v>24</v>
      </c>
    </row>
    <row r="106">
      <c r="A106" s="2" t="inlineStr">
        <is>
          <t>Pvp20</t>
        </is>
      </c>
      <c r="B106" s="2" t="n">
        <v>45</v>
      </c>
      <c r="C106" s="2" t="n">
        <v>936</v>
      </c>
      <c r="D106" s="2" t="n">
        <v>67</v>
      </c>
      <c r="E106" s="2" t="n">
        <v>206000</v>
      </c>
      <c r="F106" s="2" t="n">
        <v>50</v>
      </c>
      <c r="G106" s="2" t="n">
        <v>49925</v>
      </c>
      <c r="H106" s="2" t="n">
        <v>4325</v>
      </c>
      <c r="I106" s="2" t="n">
        <v>24</v>
      </c>
    </row>
    <row r="107">
      <c r="A107" s="2" t="inlineStr">
        <is>
          <t>Pvp20</t>
        </is>
      </c>
      <c r="B107" s="2" t="n">
        <v>46</v>
      </c>
      <c r="C107" s="2" t="n">
        <v>957</v>
      </c>
      <c r="D107" s="2" t="n">
        <v>68</v>
      </c>
      <c r="E107" s="2" t="n">
        <v>211295</v>
      </c>
      <c r="F107" s="2" t="n">
        <v>50</v>
      </c>
      <c r="G107" s="2" t="n">
        <v>50860</v>
      </c>
      <c r="H107" s="2" t="n">
        <v>5260</v>
      </c>
      <c r="I107" s="2" t="n">
        <v>24</v>
      </c>
    </row>
    <row r="108">
      <c r="A108" s="2" t="inlineStr">
        <is>
          <t>Pvp20</t>
        </is>
      </c>
      <c r="B108" s="2" t="n">
        <v>47</v>
      </c>
      <c r="C108" s="2" t="n">
        <v>978</v>
      </c>
      <c r="D108" s="2" t="n">
        <v>68</v>
      </c>
      <c r="E108" s="2" t="n">
        <v>215741</v>
      </c>
      <c r="F108" s="2" t="n">
        <v>50</v>
      </c>
      <c r="G108" s="2" t="n">
        <v>51620</v>
      </c>
      <c r="H108" s="2" t="n">
        <v>6020</v>
      </c>
      <c r="I108" s="2" t="n">
        <v>24</v>
      </c>
    </row>
    <row r="109">
      <c r="A109" s="2" t="inlineStr">
        <is>
          <t>Pvp20</t>
        </is>
      </c>
      <c r="B109" s="2" t="n">
        <v>48</v>
      </c>
      <c r="C109" s="2" t="n">
        <v>998</v>
      </c>
      <c r="D109" s="2" t="n">
        <v>69</v>
      </c>
      <c r="E109" s="2" t="n">
        <v>220036</v>
      </c>
      <c r="F109" s="2" t="n">
        <v>50</v>
      </c>
      <c r="G109" s="2" t="n">
        <v>52380</v>
      </c>
      <c r="H109" s="2" t="n">
        <v>6780</v>
      </c>
      <c r="I109" s="2" t="n">
        <v>24</v>
      </c>
    </row>
    <row r="110">
      <c r="A110" s="2" t="inlineStr">
        <is>
          <t>Pvp20</t>
        </is>
      </c>
      <c r="B110" s="2" t="n">
        <v>49</v>
      </c>
      <c r="C110" s="2" t="n">
        <v>1019</v>
      </c>
      <c r="D110" s="2" t="n">
        <v>69</v>
      </c>
      <c r="E110" s="2" t="n">
        <v>224782</v>
      </c>
      <c r="F110" s="2" t="n">
        <v>50</v>
      </c>
      <c r="G110" s="2" t="n">
        <v>53290</v>
      </c>
      <c r="H110" s="2" t="n">
        <v>7690</v>
      </c>
      <c r="I110" s="2" t="n">
        <v>24</v>
      </c>
    </row>
    <row r="111">
      <c r="A111" s="2" t="inlineStr">
        <is>
          <t>Pvp20</t>
        </is>
      </c>
      <c r="B111" s="2" t="n">
        <v>50</v>
      </c>
      <c r="C111" s="2" t="n">
        <v>1040</v>
      </c>
      <c r="D111" s="2" t="n">
        <v>70</v>
      </c>
      <c r="E111" s="2" t="n">
        <v>229927</v>
      </c>
      <c r="F111" s="2" t="n">
        <v>50</v>
      </c>
      <c r="G111" s="2" t="n">
        <v>54150</v>
      </c>
      <c r="H111" s="2" t="n">
        <v>8550</v>
      </c>
      <c r="I111" s="2" t="n">
        <v>24</v>
      </c>
    </row>
    <row r="112">
      <c r="A112" s="2" t="inlineStr">
        <is>
          <t>Pvp20</t>
        </is>
      </c>
      <c r="B112" s="2" t="n">
        <v>51</v>
      </c>
      <c r="C112" s="2" t="n">
        <v>1061</v>
      </c>
      <c r="D112" s="2" t="n">
        <v>71</v>
      </c>
      <c r="E112" s="2" t="n">
        <v>234223</v>
      </c>
      <c r="F112" s="2" t="n">
        <v>50</v>
      </c>
      <c r="G112" s="2" t="n">
        <v>54835</v>
      </c>
      <c r="H112" s="2" t="n">
        <v>9235</v>
      </c>
      <c r="I112" s="2" t="n">
        <v>24</v>
      </c>
    </row>
    <row r="113">
      <c r="A113" s="2" t="inlineStr">
        <is>
          <t>Pvp20</t>
        </is>
      </c>
      <c r="B113" s="2" t="n">
        <v>52</v>
      </c>
      <c r="C113" s="2" t="n">
        <v>1082</v>
      </c>
      <c r="D113" s="2" t="n">
        <v>71</v>
      </c>
      <c r="E113" s="2" t="n">
        <v>238568</v>
      </c>
      <c r="F113" s="2" t="n">
        <v>50</v>
      </c>
      <c r="G113" s="2" t="n">
        <v>55545</v>
      </c>
      <c r="H113" s="2" t="n">
        <v>9945</v>
      </c>
      <c r="I113" s="2" t="n">
        <v>24</v>
      </c>
    </row>
    <row r="114">
      <c r="A114" s="2" t="inlineStr">
        <is>
          <t>Pvp20</t>
        </is>
      </c>
      <c r="B114" s="2" t="n">
        <v>53</v>
      </c>
      <c r="C114" s="2" t="n">
        <v>1102</v>
      </c>
      <c r="D114" s="2" t="n">
        <v>72</v>
      </c>
      <c r="E114" s="2" t="n">
        <v>243614</v>
      </c>
      <c r="F114" s="2" t="n">
        <v>50</v>
      </c>
      <c r="G114" s="2" t="n">
        <v>56430</v>
      </c>
      <c r="H114" s="2" t="n">
        <v>10830</v>
      </c>
      <c r="I114" s="2" t="n">
        <v>24</v>
      </c>
    </row>
    <row r="115">
      <c r="A115" s="2" t="inlineStr">
        <is>
          <t>Pvp20</t>
        </is>
      </c>
      <c r="B115" s="2" t="n">
        <v>54</v>
      </c>
      <c r="C115" s="2" t="n">
        <v>1123</v>
      </c>
      <c r="D115" s="2" t="n">
        <v>72</v>
      </c>
      <c r="E115" s="2" t="n">
        <v>248060</v>
      </c>
      <c r="F115" s="2" t="n">
        <v>50</v>
      </c>
      <c r="G115" s="2" t="n">
        <v>57190</v>
      </c>
      <c r="H115" s="2" t="n">
        <v>11590</v>
      </c>
      <c r="I115" s="2" t="n">
        <v>24</v>
      </c>
    </row>
    <row r="116">
      <c r="A116" s="2" t="inlineStr">
        <is>
          <t>Pvp20</t>
        </is>
      </c>
      <c r="B116" s="2" t="n">
        <v>55</v>
      </c>
      <c r="C116" s="2" t="n">
        <v>1144</v>
      </c>
      <c r="D116" s="2" t="n">
        <v>73</v>
      </c>
      <c r="E116" s="2" t="n">
        <v>252605</v>
      </c>
      <c r="F116" s="2" t="n">
        <v>50</v>
      </c>
      <c r="G116" s="2" t="n">
        <v>58000</v>
      </c>
      <c r="H116" s="2" t="n">
        <v>12400</v>
      </c>
      <c r="I116" s="2" t="n">
        <v>24</v>
      </c>
    </row>
    <row r="117">
      <c r="A117" s="2" t="inlineStr">
        <is>
          <t>Pvp20</t>
        </is>
      </c>
      <c r="B117" s="2" t="n">
        <v>56</v>
      </c>
      <c r="C117" s="2" t="n">
        <v>1165</v>
      </c>
      <c r="D117" s="2" t="n">
        <v>73</v>
      </c>
      <c r="E117" s="2" t="n">
        <v>257351</v>
      </c>
      <c r="F117" s="2" t="n">
        <v>50</v>
      </c>
      <c r="G117" s="2" t="n">
        <v>58910</v>
      </c>
      <c r="H117" s="2" t="n">
        <v>13310</v>
      </c>
      <c r="I117" s="2" t="n">
        <v>24</v>
      </c>
    </row>
    <row r="118">
      <c r="A118" s="2" t="inlineStr">
        <is>
          <t>Pvp20</t>
        </is>
      </c>
      <c r="B118" s="2" t="n">
        <v>57</v>
      </c>
      <c r="C118" s="2" t="n">
        <v>1186</v>
      </c>
      <c r="D118" s="2" t="n">
        <v>74</v>
      </c>
      <c r="E118" s="2" t="n">
        <v>262246</v>
      </c>
      <c r="F118" s="2" t="n">
        <v>50</v>
      </c>
      <c r="G118" s="2" t="n">
        <v>59720</v>
      </c>
      <c r="H118" s="2" t="n">
        <v>14120</v>
      </c>
      <c r="I118" s="2" t="n">
        <v>24</v>
      </c>
    </row>
    <row r="119">
      <c r="A119" s="2" t="inlineStr">
        <is>
          <t>Pvp20</t>
        </is>
      </c>
      <c r="B119" s="2" t="n">
        <v>58</v>
      </c>
      <c r="C119" s="2" t="n">
        <v>1206</v>
      </c>
      <c r="D119" s="2" t="n">
        <v>75</v>
      </c>
      <c r="E119" s="2" t="n">
        <v>267442</v>
      </c>
      <c r="F119" s="2" t="n">
        <v>50</v>
      </c>
      <c r="G119" s="2" t="n">
        <v>60605</v>
      </c>
      <c r="H119" s="2" t="n">
        <v>15005</v>
      </c>
      <c r="I119" s="2" t="n">
        <v>24</v>
      </c>
    </row>
    <row r="120">
      <c r="A120" s="2" t="inlineStr">
        <is>
          <t>Pvp20</t>
        </is>
      </c>
      <c r="B120" s="2" t="n">
        <v>59</v>
      </c>
      <c r="C120" s="2" t="n">
        <v>1227</v>
      </c>
      <c r="D120" s="2" t="n">
        <v>75</v>
      </c>
      <c r="E120" s="2" t="n">
        <v>271537</v>
      </c>
      <c r="F120" s="2" t="n">
        <v>50</v>
      </c>
      <c r="G120" s="2" t="n">
        <v>61265</v>
      </c>
      <c r="H120" s="2" t="n">
        <v>15665</v>
      </c>
      <c r="I120" s="2" t="n">
        <v>24</v>
      </c>
    </row>
    <row r="121">
      <c r="A121" s="2" t="inlineStr">
        <is>
          <t>Pvp20</t>
        </is>
      </c>
      <c r="B121" s="2" t="n">
        <v>60</v>
      </c>
      <c r="C121" s="2" t="n">
        <v>1248</v>
      </c>
      <c r="D121" s="2" t="n">
        <v>76</v>
      </c>
      <c r="E121" s="2" t="n">
        <v>275933</v>
      </c>
      <c r="F121" s="2" t="n">
        <v>50</v>
      </c>
      <c r="G121" s="2" t="n">
        <v>62000</v>
      </c>
      <c r="H121" s="2" t="n">
        <v>16400</v>
      </c>
      <c r="I121" s="2" t="n">
        <v>24</v>
      </c>
    </row>
    <row r="122">
      <c r="A122" s="2" t="inlineStr">
        <is>
          <t>Pvp60</t>
        </is>
      </c>
      <c r="B122" s="2" t="n">
        <v>1</v>
      </c>
      <c r="C122" s="2" t="n">
        <v>62</v>
      </c>
      <c r="D122" s="2" t="n">
        <v>19</v>
      </c>
      <c r="E122" s="2" t="n">
        <v>10817</v>
      </c>
      <c r="F122" s="2" t="n">
        <v>29</v>
      </c>
      <c r="G122" s="2" t="n">
        <v>5835</v>
      </c>
      <c r="H122" s="2" t="n">
        <v>1035</v>
      </c>
      <c r="I122" s="2" t="n">
        <v>9</v>
      </c>
    </row>
    <row r="123">
      <c r="A123" s="2" t="inlineStr">
        <is>
          <t>Pvp60</t>
        </is>
      </c>
      <c r="B123" s="2" t="n">
        <v>2</v>
      </c>
      <c r="C123" s="2" t="n">
        <v>125</v>
      </c>
      <c r="D123" s="2" t="n">
        <v>25</v>
      </c>
      <c r="E123" s="2" t="n">
        <v>21683</v>
      </c>
      <c r="F123" s="2" t="n">
        <v>43</v>
      </c>
      <c r="G123" s="2" t="n">
        <v>13005</v>
      </c>
      <c r="H123" s="2" t="n">
        <v>1805</v>
      </c>
      <c r="I123" s="2" t="n">
        <v>15</v>
      </c>
    </row>
    <row r="124">
      <c r="A124" s="2" t="inlineStr">
        <is>
          <t>Pvp60</t>
        </is>
      </c>
      <c r="B124" s="2" t="n">
        <v>3</v>
      </c>
      <c r="C124" s="2" t="n">
        <v>187</v>
      </c>
      <c r="D124" s="2" t="n">
        <v>30</v>
      </c>
      <c r="E124" s="2" t="n">
        <v>31700</v>
      </c>
      <c r="F124" s="2" t="n">
        <v>50</v>
      </c>
      <c r="G124" s="2" t="n">
        <v>19120</v>
      </c>
      <c r="H124" s="2" t="n">
        <v>7320</v>
      </c>
      <c r="I124" s="2" t="n">
        <v>18</v>
      </c>
    </row>
    <row r="125">
      <c r="A125" s="2" t="inlineStr">
        <is>
          <t>Pvp60</t>
        </is>
      </c>
      <c r="B125" s="2" t="n">
        <v>4</v>
      </c>
      <c r="C125" s="2" t="n">
        <v>250</v>
      </c>
      <c r="D125" s="2" t="n">
        <v>34</v>
      </c>
      <c r="E125" s="2" t="n">
        <v>41767</v>
      </c>
      <c r="F125" s="2" t="n">
        <v>50</v>
      </c>
      <c r="G125" s="2" t="n">
        <v>20560</v>
      </c>
      <c r="H125" s="2" t="n">
        <v>4760</v>
      </c>
      <c r="I125" s="2" t="n">
        <v>19</v>
      </c>
    </row>
    <row r="126">
      <c r="A126" s="2" t="inlineStr">
        <is>
          <t>Pvp60</t>
        </is>
      </c>
      <c r="B126" s="2" t="n">
        <v>5</v>
      </c>
      <c r="C126" s="2" t="n">
        <v>312</v>
      </c>
      <c r="D126" s="2" t="n">
        <v>37</v>
      </c>
      <c r="E126" s="2" t="n">
        <v>51883</v>
      </c>
      <c r="F126" s="2" t="n">
        <v>50</v>
      </c>
      <c r="G126" s="2" t="n">
        <v>22025</v>
      </c>
      <c r="H126" s="2" t="n">
        <v>6225</v>
      </c>
      <c r="I126" s="2" t="n">
        <v>19</v>
      </c>
    </row>
    <row r="127">
      <c r="A127" s="2" t="inlineStr">
        <is>
          <t>Pvp60</t>
        </is>
      </c>
      <c r="B127" s="2" t="n">
        <v>6</v>
      </c>
      <c r="C127" s="2" t="n">
        <v>374</v>
      </c>
      <c r="D127" s="2" t="n">
        <v>40</v>
      </c>
      <c r="E127" s="2" t="n">
        <v>61850</v>
      </c>
      <c r="F127" s="2" t="n">
        <v>50</v>
      </c>
      <c r="G127" s="2" t="n">
        <v>23490</v>
      </c>
      <c r="H127" s="2" t="n">
        <v>5890</v>
      </c>
      <c r="I127" s="2" t="n">
        <v>20</v>
      </c>
    </row>
    <row r="128">
      <c r="A128" s="2" t="inlineStr">
        <is>
          <t>Pvp60</t>
        </is>
      </c>
      <c r="B128" s="2" t="n">
        <v>7</v>
      </c>
      <c r="C128" s="2" t="n">
        <v>437</v>
      </c>
      <c r="D128" s="2" t="n">
        <v>43</v>
      </c>
      <c r="E128" s="2" t="n">
        <v>72266</v>
      </c>
      <c r="F128" s="2" t="n">
        <v>50</v>
      </c>
      <c r="G128" s="2" t="n">
        <v>25105</v>
      </c>
      <c r="H128" s="2" t="n">
        <v>3505</v>
      </c>
      <c r="I128" s="2" t="n">
        <v>21</v>
      </c>
    </row>
    <row r="129">
      <c r="A129" s="2" t="inlineStr">
        <is>
          <t>Pvp60</t>
        </is>
      </c>
      <c r="B129" s="2" t="n">
        <v>8</v>
      </c>
      <c r="C129" s="2" t="n">
        <v>499</v>
      </c>
      <c r="D129" s="2" t="n">
        <v>45</v>
      </c>
      <c r="E129" s="2" t="n">
        <v>83083</v>
      </c>
      <c r="F129" s="2" t="n">
        <v>50</v>
      </c>
      <c r="G129" s="2" t="n">
        <v>26670</v>
      </c>
      <c r="H129" s="2" t="n">
        <v>5070</v>
      </c>
      <c r="I129" s="2" t="n">
        <v>21</v>
      </c>
    </row>
    <row r="130">
      <c r="A130" s="2" t="inlineStr">
        <is>
          <t>Pvp60</t>
        </is>
      </c>
      <c r="B130" s="2" t="n">
        <v>9</v>
      </c>
      <c r="C130" s="2" t="n">
        <v>562</v>
      </c>
      <c r="D130" s="2" t="n">
        <v>48</v>
      </c>
      <c r="E130" s="2" t="n">
        <v>93950</v>
      </c>
      <c r="F130" s="2" t="n">
        <v>50</v>
      </c>
      <c r="G130" s="2" t="n">
        <v>28260</v>
      </c>
      <c r="H130" s="2" t="n">
        <v>6660</v>
      </c>
      <c r="I130" s="2" t="n">
        <v>21</v>
      </c>
    </row>
    <row r="131">
      <c r="A131" s="2" t="inlineStr">
        <is>
          <t>Pvp60</t>
        </is>
      </c>
      <c r="B131" s="2" t="n">
        <v>10</v>
      </c>
      <c r="C131" s="2" t="n">
        <v>624</v>
      </c>
      <c r="D131" s="2" t="n">
        <v>50</v>
      </c>
      <c r="E131" s="2" t="n">
        <v>104866</v>
      </c>
      <c r="F131" s="2" t="n">
        <v>50</v>
      </c>
      <c r="G131" s="2" t="n">
        <v>29875</v>
      </c>
      <c r="H131" s="2" t="n">
        <v>275</v>
      </c>
      <c r="I131" s="2" t="n">
        <v>22</v>
      </c>
    </row>
    <row r="132">
      <c r="A132" s="2" t="inlineStr">
        <is>
          <t>Pvp60</t>
        </is>
      </c>
      <c r="B132" s="2" t="n">
        <v>11</v>
      </c>
      <c r="C132" s="2" t="n">
        <v>686</v>
      </c>
      <c r="D132" s="2" t="n">
        <v>52</v>
      </c>
      <c r="E132" s="2" t="n">
        <v>114933</v>
      </c>
      <c r="F132" s="2" t="n">
        <v>50</v>
      </c>
      <c r="G132" s="2" t="n">
        <v>31315</v>
      </c>
      <c r="H132" s="2" t="n">
        <v>1715</v>
      </c>
      <c r="I132" s="2" t="n">
        <v>22</v>
      </c>
    </row>
    <row r="133">
      <c r="A133" s="2" t="inlineStr">
        <is>
          <t>Pvp60</t>
        </is>
      </c>
      <c r="B133" s="2" t="n">
        <v>12</v>
      </c>
      <c r="C133" s="2" t="n">
        <v>749</v>
      </c>
      <c r="D133" s="2" t="n">
        <v>54</v>
      </c>
      <c r="E133" s="2" t="n">
        <v>125050</v>
      </c>
      <c r="F133" s="2" t="n">
        <v>50</v>
      </c>
      <c r="G133" s="2" t="n">
        <v>32780</v>
      </c>
      <c r="H133" s="2" t="n">
        <v>3180</v>
      </c>
      <c r="I133" s="2" t="n">
        <v>22</v>
      </c>
    </row>
    <row r="134">
      <c r="A134" s="2" t="inlineStr">
        <is>
          <t>Pvp60</t>
        </is>
      </c>
      <c r="B134" s="2" t="n">
        <v>13</v>
      </c>
      <c r="C134" s="2" t="n">
        <v>811</v>
      </c>
      <c r="D134" s="2" t="n">
        <v>56</v>
      </c>
      <c r="E134" s="2" t="n">
        <v>135266</v>
      </c>
      <c r="F134" s="2" t="n">
        <v>50</v>
      </c>
      <c r="G134" s="2" t="n">
        <v>34295</v>
      </c>
      <c r="H134" s="2" t="n">
        <v>4695</v>
      </c>
      <c r="I134" s="2" t="n">
        <v>22</v>
      </c>
    </row>
    <row r="135">
      <c r="A135" s="2" t="inlineStr">
        <is>
          <t>Pvp60</t>
        </is>
      </c>
      <c r="B135" s="2" t="n">
        <v>14</v>
      </c>
      <c r="C135" s="2" t="n">
        <v>874</v>
      </c>
      <c r="D135" s="2" t="n">
        <v>58</v>
      </c>
      <c r="E135" s="2" t="n">
        <v>145683</v>
      </c>
      <c r="F135" s="2" t="n">
        <v>50</v>
      </c>
      <c r="G135" s="2" t="n">
        <v>35910</v>
      </c>
      <c r="H135" s="2" t="n">
        <v>6310</v>
      </c>
      <c r="I135" s="2" t="n">
        <v>22</v>
      </c>
    </row>
    <row r="136">
      <c r="A136" s="2" t="inlineStr">
        <is>
          <t>Pvp60</t>
        </is>
      </c>
      <c r="B136" s="2" t="n">
        <v>15</v>
      </c>
      <c r="C136" s="2" t="n">
        <v>936</v>
      </c>
      <c r="D136" s="2" t="n">
        <v>60</v>
      </c>
      <c r="E136" s="2" t="n">
        <v>157400</v>
      </c>
      <c r="F136" s="2" t="n">
        <v>50</v>
      </c>
      <c r="G136" s="2" t="n">
        <v>37675</v>
      </c>
      <c r="H136" s="2" t="n">
        <v>8075</v>
      </c>
      <c r="I136" s="2" t="n">
        <v>22</v>
      </c>
    </row>
    <row r="137">
      <c r="A137" s="2" t="inlineStr">
        <is>
          <t>Pvp60</t>
        </is>
      </c>
      <c r="B137" s="2" t="n">
        <v>16</v>
      </c>
      <c r="C137" s="2" t="n">
        <v>998</v>
      </c>
      <c r="D137" s="2" t="n">
        <v>61</v>
      </c>
      <c r="E137" s="2" t="n">
        <v>168266</v>
      </c>
      <c r="F137" s="2" t="n">
        <v>50</v>
      </c>
      <c r="G137" s="2" t="n">
        <v>39265</v>
      </c>
      <c r="H137" s="2" t="n">
        <v>9665</v>
      </c>
      <c r="I137" s="2" t="n">
        <v>22</v>
      </c>
    </row>
    <row r="138">
      <c r="A138" s="2" t="inlineStr">
        <is>
          <t>Pvp60</t>
        </is>
      </c>
      <c r="B138" s="2" t="n">
        <v>17</v>
      </c>
      <c r="C138" s="2" t="n">
        <v>1061</v>
      </c>
      <c r="D138" s="2" t="n">
        <v>63</v>
      </c>
      <c r="E138" s="2" t="n">
        <v>178283</v>
      </c>
      <c r="F138" s="2" t="n">
        <v>50</v>
      </c>
      <c r="G138" s="2" t="n">
        <v>40680</v>
      </c>
      <c r="H138" s="2" t="n">
        <v>11080</v>
      </c>
      <c r="I138" s="2" t="n">
        <v>22</v>
      </c>
    </row>
    <row r="139">
      <c r="A139" s="2" t="inlineStr">
        <is>
          <t>Pvp60</t>
        </is>
      </c>
      <c r="B139" s="2" t="n">
        <v>18</v>
      </c>
      <c r="C139" s="2" t="n">
        <v>1123</v>
      </c>
      <c r="D139" s="2" t="n">
        <v>64</v>
      </c>
      <c r="E139" s="2" t="n">
        <v>188100</v>
      </c>
      <c r="F139" s="2" t="n">
        <v>50</v>
      </c>
      <c r="G139" s="2" t="n">
        <v>42070</v>
      </c>
      <c r="H139" s="2" t="n">
        <v>4470</v>
      </c>
      <c r="I139" s="2" t="n">
        <v>23</v>
      </c>
    </row>
    <row r="140">
      <c r="A140" s="2" t="inlineStr">
        <is>
          <t>Pvp60</t>
        </is>
      </c>
      <c r="B140" s="2" t="n">
        <v>19</v>
      </c>
      <c r="C140" s="2" t="n">
        <v>1186</v>
      </c>
      <c r="D140" s="2" t="n">
        <v>66</v>
      </c>
      <c r="E140" s="2" t="n">
        <v>198216</v>
      </c>
      <c r="F140" s="2" t="n">
        <v>50</v>
      </c>
      <c r="G140" s="2" t="n">
        <v>43535</v>
      </c>
      <c r="H140" s="2" t="n">
        <v>5935</v>
      </c>
      <c r="I140" s="2" t="n">
        <v>23</v>
      </c>
    </row>
    <row r="141">
      <c r="A141" s="2" t="inlineStr">
        <is>
          <t>Pvp60</t>
        </is>
      </c>
      <c r="B141" s="2" t="n">
        <v>20</v>
      </c>
      <c r="C141" s="2" t="n">
        <v>1248</v>
      </c>
      <c r="D141" s="2" t="n">
        <v>67</v>
      </c>
      <c r="E141" s="2" t="n">
        <v>208433</v>
      </c>
      <c r="F141" s="2" t="n">
        <v>50</v>
      </c>
      <c r="G141" s="2" t="n">
        <v>45050</v>
      </c>
      <c r="H141" s="2" t="n">
        <v>7450</v>
      </c>
      <c r="I141" s="2" t="n">
        <v>23</v>
      </c>
    </row>
    <row r="142">
      <c r="A142" s="2" t="inlineStr">
        <is>
          <t>Pvp60</t>
        </is>
      </c>
      <c r="B142" s="2" t="n">
        <v>21</v>
      </c>
      <c r="C142" s="2" t="n">
        <v>1310</v>
      </c>
      <c r="D142" s="2" t="n">
        <v>69</v>
      </c>
      <c r="E142" s="2" t="n">
        <v>218599</v>
      </c>
      <c r="F142" s="2" t="n">
        <v>50</v>
      </c>
      <c r="G142" s="2" t="n">
        <v>46615</v>
      </c>
      <c r="H142" s="2" t="n">
        <v>9015</v>
      </c>
      <c r="I142" s="2" t="n">
        <v>23</v>
      </c>
    </row>
    <row r="143">
      <c r="A143" s="2" t="inlineStr">
        <is>
          <t>Pvp60</t>
        </is>
      </c>
      <c r="B143" s="2" t="n">
        <v>22</v>
      </c>
      <c r="C143" s="2" t="n">
        <v>1373</v>
      </c>
      <c r="D143" s="2" t="n">
        <v>70</v>
      </c>
      <c r="E143" s="2" t="n">
        <v>229416</v>
      </c>
      <c r="F143" s="2" t="n">
        <v>50</v>
      </c>
      <c r="G143" s="2" t="n">
        <v>48180</v>
      </c>
      <c r="H143" s="2" t="n">
        <v>2580</v>
      </c>
      <c r="I143" s="2" t="n">
        <v>24</v>
      </c>
    </row>
    <row r="144">
      <c r="A144" s="2" t="inlineStr">
        <is>
          <t>Pvp60</t>
        </is>
      </c>
      <c r="B144" s="2" t="n">
        <v>23</v>
      </c>
      <c r="C144" s="2" t="n">
        <v>1435</v>
      </c>
      <c r="D144" s="2" t="n">
        <v>71</v>
      </c>
      <c r="E144" s="2" t="n">
        <v>240283</v>
      </c>
      <c r="F144" s="2" t="n">
        <v>50</v>
      </c>
      <c r="G144" s="2" t="n">
        <v>49770</v>
      </c>
      <c r="H144" s="2" t="n">
        <v>4170</v>
      </c>
      <c r="I144" s="2" t="n">
        <v>24</v>
      </c>
    </row>
    <row r="145">
      <c r="A145" s="2" t="inlineStr">
        <is>
          <t>Pvp60</t>
        </is>
      </c>
      <c r="B145" s="2" t="n">
        <v>24</v>
      </c>
      <c r="C145" s="2" t="n">
        <v>1498</v>
      </c>
      <c r="D145" s="2" t="n">
        <v>73</v>
      </c>
      <c r="E145" s="2" t="n">
        <v>250299</v>
      </c>
      <c r="F145" s="2" t="n">
        <v>50</v>
      </c>
      <c r="G145" s="2" t="n">
        <v>51185</v>
      </c>
      <c r="H145" s="2" t="n">
        <v>5585</v>
      </c>
      <c r="I145" s="2" t="n">
        <v>24</v>
      </c>
    </row>
    <row r="146">
      <c r="A146" s="2" t="inlineStr">
        <is>
          <t>Pvp60</t>
        </is>
      </c>
      <c r="B146" s="2" t="n">
        <v>25</v>
      </c>
      <c r="C146" s="2" t="n">
        <v>1560</v>
      </c>
      <c r="D146" s="2" t="n">
        <v>74</v>
      </c>
      <c r="E146" s="2" t="n">
        <v>260366</v>
      </c>
      <c r="F146" s="2" t="n">
        <v>50</v>
      </c>
      <c r="G146" s="2" t="n">
        <v>52625</v>
      </c>
      <c r="H146" s="2" t="n">
        <v>7025</v>
      </c>
      <c r="I146" s="2" t="n">
        <v>24</v>
      </c>
    </row>
    <row r="147">
      <c r="A147" s="2" t="inlineStr">
        <is>
          <t>Pvp60</t>
        </is>
      </c>
      <c r="B147" s="2" t="n">
        <v>26</v>
      </c>
      <c r="C147" s="2" t="n">
        <v>1622</v>
      </c>
      <c r="D147" s="2" t="n">
        <v>75</v>
      </c>
      <c r="E147" s="2" t="n">
        <v>270483</v>
      </c>
      <c r="F147" s="2" t="n">
        <v>50</v>
      </c>
      <c r="G147" s="2" t="n">
        <v>54090</v>
      </c>
      <c r="H147" s="2" t="n">
        <v>8490</v>
      </c>
      <c r="I147" s="2" t="n">
        <v>24</v>
      </c>
    </row>
    <row r="148">
      <c r="A148" s="2" t="inlineStr">
        <is>
          <t>Pvp60</t>
        </is>
      </c>
      <c r="B148" s="2" t="n">
        <v>27</v>
      </c>
      <c r="C148" s="2" t="n">
        <v>1685</v>
      </c>
      <c r="D148" s="2" t="n">
        <v>76</v>
      </c>
      <c r="E148" s="2" t="n">
        <v>280699</v>
      </c>
      <c r="F148" s="2" t="n">
        <v>50</v>
      </c>
      <c r="G148" s="2" t="n">
        <v>55605</v>
      </c>
      <c r="H148" s="2" t="n">
        <v>10005</v>
      </c>
      <c r="I148" s="2" t="n">
        <v>24</v>
      </c>
    </row>
    <row r="149">
      <c r="A149" s="2" t="inlineStr">
        <is>
          <t>Pvp60</t>
        </is>
      </c>
      <c r="B149" s="2" t="n">
        <v>28</v>
      </c>
      <c r="C149" s="2" t="n">
        <v>1747</v>
      </c>
      <c r="D149" s="2" t="n">
        <v>77</v>
      </c>
      <c r="E149" s="2" t="n">
        <v>291116</v>
      </c>
      <c r="F149" s="2" t="n">
        <v>50</v>
      </c>
      <c r="G149" s="2" t="n">
        <v>57220</v>
      </c>
      <c r="H149" s="2" t="n">
        <v>11620</v>
      </c>
      <c r="I149" s="2" t="n">
        <v>24</v>
      </c>
    </row>
    <row r="150">
      <c r="A150" s="2" t="inlineStr">
        <is>
          <t>Pvp60</t>
        </is>
      </c>
      <c r="B150" s="2" t="n">
        <v>29</v>
      </c>
      <c r="C150" s="2" t="n">
        <v>1810</v>
      </c>
      <c r="D150" s="2" t="n">
        <v>79</v>
      </c>
      <c r="E150" s="2" t="n">
        <v>301933</v>
      </c>
      <c r="F150" s="2" t="n">
        <v>50</v>
      </c>
      <c r="G150" s="2" t="n">
        <v>58785</v>
      </c>
      <c r="H150" s="2" t="n">
        <v>13185</v>
      </c>
      <c r="I150" s="2" t="n">
        <v>24</v>
      </c>
    </row>
    <row r="151">
      <c r="A151" s="2" t="inlineStr">
        <is>
          <t>Pvp60</t>
        </is>
      </c>
      <c r="B151" s="2" t="n">
        <v>30</v>
      </c>
      <c r="C151" s="2" t="n">
        <v>1872</v>
      </c>
      <c r="D151" s="2" t="n">
        <v>80</v>
      </c>
      <c r="E151" s="2" t="n">
        <v>312799</v>
      </c>
      <c r="F151" s="2" t="n">
        <v>50</v>
      </c>
      <c r="G151" s="2" t="n">
        <v>60375</v>
      </c>
      <c r="H151" s="2" t="n">
        <v>14775</v>
      </c>
      <c r="I151" s="2" t="n">
        <v>24</v>
      </c>
    </row>
    <row r="152">
      <c r="A152" s="2" t="inlineStr">
        <is>
          <t>Pvp60</t>
        </is>
      </c>
      <c r="B152" s="2" t="n">
        <v>31</v>
      </c>
      <c r="C152" s="2" t="n">
        <v>1934</v>
      </c>
      <c r="D152" s="2" t="n">
        <v>81</v>
      </c>
      <c r="E152" s="2" t="n">
        <v>322816</v>
      </c>
      <c r="F152" s="2" t="n">
        <v>50</v>
      </c>
      <c r="G152" s="2" t="n">
        <v>61790</v>
      </c>
      <c r="H152" s="2" t="n">
        <v>16190</v>
      </c>
      <c r="I152" s="2" t="n">
        <v>24</v>
      </c>
    </row>
    <row r="153">
      <c r="A153" s="2" t="inlineStr">
        <is>
          <t>Pvp60</t>
        </is>
      </c>
      <c r="B153" s="2" t="n">
        <v>32</v>
      </c>
      <c r="C153" s="2" t="n">
        <v>1997</v>
      </c>
      <c r="D153" s="2" t="n">
        <v>82</v>
      </c>
      <c r="E153" s="2" t="n">
        <v>332883</v>
      </c>
      <c r="F153" s="2" t="n">
        <v>50</v>
      </c>
      <c r="G153" s="2" t="n">
        <v>63230</v>
      </c>
      <c r="H153" s="2" t="n">
        <v>17630</v>
      </c>
      <c r="I153" s="2" t="n">
        <v>24</v>
      </c>
    </row>
    <row r="154">
      <c r="A154" s="2" t="inlineStr">
        <is>
          <t>Pvp60</t>
        </is>
      </c>
      <c r="B154" s="2" t="n">
        <v>33</v>
      </c>
      <c r="C154" s="2" t="n">
        <v>2059</v>
      </c>
      <c r="D154" s="2" t="n">
        <v>83</v>
      </c>
      <c r="E154" s="2" t="n">
        <v>342999</v>
      </c>
      <c r="F154" s="2" t="n">
        <v>50</v>
      </c>
      <c r="G154" s="2" t="n">
        <v>64695</v>
      </c>
      <c r="H154" s="2" t="n">
        <v>19095</v>
      </c>
      <c r="I154" s="2" t="n">
        <v>24</v>
      </c>
    </row>
    <row r="155">
      <c r="A155" s="2" t="inlineStr">
        <is>
          <t>Pvp60</t>
        </is>
      </c>
      <c r="B155" s="2" t="n">
        <v>34</v>
      </c>
      <c r="C155" s="2" t="n">
        <v>2122</v>
      </c>
      <c r="D155" s="2" t="n">
        <v>84</v>
      </c>
      <c r="E155" s="2" t="n">
        <v>353216</v>
      </c>
      <c r="F155" s="2" t="n">
        <v>50</v>
      </c>
      <c r="G155" s="2" t="n">
        <v>66210</v>
      </c>
      <c r="H155" s="2" t="n">
        <v>20610</v>
      </c>
      <c r="I155" s="2" t="n">
        <v>24</v>
      </c>
    </row>
    <row r="156">
      <c r="A156" s="2" t="inlineStr">
        <is>
          <t>Pvp60</t>
        </is>
      </c>
      <c r="B156" s="2" t="n">
        <v>35</v>
      </c>
      <c r="C156" s="2" t="n">
        <v>2184</v>
      </c>
      <c r="D156" s="2" t="n">
        <v>85</v>
      </c>
      <c r="E156" s="2" t="n">
        <v>363632</v>
      </c>
      <c r="F156" s="2" t="n">
        <v>50</v>
      </c>
      <c r="G156" s="2" t="n">
        <v>67825</v>
      </c>
      <c r="H156" s="2" t="n">
        <v>22225</v>
      </c>
      <c r="I156" s="2" t="n">
        <v>24</v>
      </c>
    </row>
    <row r="157">
      <c r="A157" s="2" t="inlineStr">
        <is>
          <t>Pvp60</t>
        </is>
      </c>
      <c r="B157" s="2" t="n">
        <v>36</v>
      </c>
      <c r="C157" s="2" t="n">
        <v>2246</v>
      </c>
      <c r="D157" s="2" t="n">
        <v>86</v>
      </c>
      <c r="E157" s="2" t="n">
        <v>374449</v>
      </c>
      <c r="F157" s="2" t="n">
        <v>50</v>
      </c>
      <c r="G157" s="2" t="n">
        <v>69390</v>
      </c>
      <c r="H157" s="2" t="n">
        <v>23790</v>
      </c>
      <c r="I157" s="2" t="n">
        <v>24</v>
      </c>
    </row>
    <row r="158">
      <c r="A158" s="2" t="inlineStr">
        <is>
          <t>Pvp60</t>
        </is>
      </c>
      <c r="B158" s="2" t="n">
        <v>37</v>
      </c>
      <c r="C158" s="2" t="n">
        <v>2309</v>
      </c>
      <c r="D158" s="2" t="n">
        <v>87</v>
      </c>
      <c r="E158" s="2" t="n">
        <v>385316</v>
      </c>
      <c r="F158" s="2" t="n">
        <v>50</v>
      </c>
      <c r="G158" s="2" t="n">
        <v>70980</v>
      </c>
      <c r="H158" s="2" t="n">
        <v>25380</v>
      </c>
      <c r="I158" s="2" t="n">
        <v>24</v>
      </c>
    </row>
    <row r="159">
      <c r="A159" s="2" t="inlineStr">
        <is>
          <t>Pvp60</t>
        </is>
      </c>
      <c r="B159" s="2" t="n">
        <v>38</v>
      </c>
      <c r="C159" s="2" t="n">
        <v>2371</v>
      </c>
      <c r="D159" s="2" t="n">
        <v>88</v>
      </c>
      <c r="E159" s="2" t="n">
        <v>395332</v>
      </c>
      <c r="F159" s="2" t="n">
        <v>50</v>
      </c>
      <c r="G159" s="2" t="n">
        <v>72395</v>
      </c>
      <c r="H159" s="2" t="n">
        <v>26795</v>
      </c>
      <c r="I159" s="2" t="n">
        <v>24</v>
      </c>
    </row>
    <row r="160">
      <c r="A160" s="2" t="inlineStr">
        <is>
          <t>Pvp60</t>
        </is>
      </c>
      <c r="B160" s="2" t="n">
        <v>39</v>
      </c>
      <c r="C160" s="2" t="n">
        <v>2434</v>
      </c>
      <c r="D160" s="2" t="n">
        <v>89</v>
      </c>
      <c r="E160" s="2" t="n">
        <v>405149</v>
      </c>
      <c r="F160" s="2" t="n">
        <v>50</v>
      </c>
      <c r="G160" s="2" t="n">
        <v>73785</v>
      </c>
      <c r="H160" s="2" t="n">
        <v>28185</v>
      </c>
      <c r="I160" s="2" t="n">
        <v>24</v>
      </c>
    </row>
    <row r="161">
      <c r="A161" s="2" t="inlineStr">
        <is>
          <t>Pvp60</t>
        </is>
      </c>
      <c r="B161" s="2" t="n">
        <v>40</v>
      </c>
      <c r="C161" s="2" t="n">
        <v>2496</v>
      </c>
      <c r="D161" s="2" t="n">
        <v>90</v>
      </c>
      <c r="E161" s="2" t="n">
        <v>415266</v>
      </c>
      <c r="F161" s="2" t="n">
        <v>50</v>
      </c>
      <c r="G161" s="2" t="n">
        <v>75250</v>
      </c>
      <c r="H161" s="2" t="n">
        <v>29650</v>
      </c>
      <c r="I161" s="2" t="n">
        <v>24</v>
      </c>
    </row>
    <row r="162">
      <c r="A162" s="2" t="inlineStr">
        <is>
          <t>Pvp60</t>
        </is>
      </c>
      <c r="B162" s="2" t="n">
        <v>41</v>
      </c>
      <c r="C162" s="2" t="n">
        <v>2558</v>
      </c>
      <c r="D162" s="2" t="n">
        <v>91</v>
      </c>
      <c r="E162" s="2" t="n">
        <v>425482</v>
      </c>
      <c r="F162" s="2" t="n">
        <v>50</v>
      </c>
      <c r="G162" s="2" t="n">
        <v>76765</v>
      </c>
      <c r="H162" s="2" t="n">
        <v>31165</v>
      </c>
      <c r="I162" s="2" t="n">
        <v>24</v>
      </c>
    </row>
    <row r="163">
      <c r="A163" s="2" t="inlineStr">
        <is>
          <t>Pvp60</t>
        </is>
      </c>
      <c r="B163" s="2" t="n">
        <v>42</v>
      </c>
      <c r="C163" s="2" t="n">
        <v>2621</v>
      </c>
      <c r="D163" s="2" t="n">
        <v>92</v>
      </c>
      <c r="E163" s="2" t="n">
        <v>435899</v>
      </c>
      <c r="F163" s="2" t="n">
        <v>50</v>
      </c>
      <c r="G163" s="2" t="n">
        <v>78380</v>
      </c>
      <c r="H163" s="2" t="n">
        <v>32780</v>
      </c>
      <c r="I163" s="2" t="n">
        <v>24</v>
      </c>
    </row>
    <row r="164">
      <c r="A164" s="2" t="inlineStr">
        <is>
          <t>Pvp60</t>
        </is>
      </c>
      <c r="B164" s="2" t="n">
        <v>43</v>
      </c>
      <c r="C164" s="2" t="n">
        <v>2683</v>
      </c>
      <c r="D164" s="2" t="n">
        <v>93</v>
      </c>
      <c r="E164" s="2" t="n">
        <v>447616</v>
      </c>
      <c r="F164" s="2" t="n">
        <v>50</v>
      </c>
      <c r="G164" s="2" t="n">
        <v>80145</v>
      </c>
      <c r="H164" s="2" t="n">
        <v>34545</v>
      </c>
      <c r="I164" s="2" t="n">
        <v>24</v>
      </c>
    </row>
    <row r="165">
      <c r="A165" s="2" t="inlineStr">
        <is>
          <t>Pvp60</t>
        </is>
      </c>
      <c r="B165" s="2" t="n">
        <v>44</v>
      </c>
      <c r="C165" s="2" t="n">
        <v>2746</v>
      </c>
      <c r="D165" s="2" t="n">
        <v>94</v>
      </c>
      <c r="E165" s="2" t="n">
        <v>458482</v>
      </c>
      <c r="F165" s="2" t="n">
        <v>50</v>
      </c>
      <c r="G165" s="2" t="n">
        <v>81735</v>
      </c>
      <c r="H165" s="2" t="n">
        <v>36135</v>
      </c>
      <c r="I165" s="2" t="n">
        <v>24</v>
      </c>
    </row>
    <row r="166">
      <c r="A166" s="2" t="inlineStr">
        <is>
          <t>Pvp60</t>
        </is>
      </c>
      <c r="B166" s="2" t="n">
        <v>45</v>
      </c>
      <c r="C166" s="2" t="n">
        <v>2808</v>
      </c>
      <c r="D166" s="2" t="n">
        <v>95</v>
      </c>
      <c r="E166" s="2" t="n">
        <v>468499</v>
      </c>
      <c r="F166" s="2" t="n">
        <v>50</v>
      </c>
      <c r="G166" s="2" t="n">
        <v>83150</v>
      </c>
      <c r="H166" s="2" t="n">
        <v>37550</v>
      </c>
      <c r="I166" s="2" t="n">
        <v>24</v>
      </c>
    </row>
    <row r="167">
      <c r="A167" s="2" t="inlineStr">
        <is>
          <t>Pvp60</t>
        </is>
      </c>
      <c r="B167" s="2" t="n">
        <v>46</v>
      </c>
      <c r="C167" s="2" t="n">
        <v>2870</v>
      </c>
      <c r="D167" s="2" t="n">
        <v>96</v>
      </c>
      <c r="E167" s="2" t="n">
        <v>478566</v>
      </c>
      <c r="F167" s="2" t="n">
        <v>50</v>
      </c>
      <c r="G167" s="2" t="n">
        <v>84590</v>
      </c>
      <c r="H167" s="2" t="n">
        <v>38990</v>
      </c>
      <c r="I167" s="2" t="n">
        <v>24</v>
      </c>
    </row>
    <row r="168">
      <c r="A168" s="2" t="inlineStr">
        <is>
          <t>Pvp60</t>
        </is>
      </c>
      <c r="B168" s="2" t="n">
        <v>47</v>
      </c>
      <c r="C168" s="2" t="n">
        <v>2933</v>
      </c>
      <c r="D168" s="2" t="n">
        <v>97</v>
      </c>
      <c r="E168" s="2" t="n">
        <v>488682</v>
      </c>
      <c r="F168" s="2" t="n">
        <v>50</v>
      </c>
      <c r="G168" s="2" t="n">
        <v>86055</v>
      </c>
      <c r="H168" s="2" t="n">
        <v>40455</v>
      </c>
      <c r="I168" s="2" t="n">
        <v>24</v>
      </c>
    </row>
    <row r="169">
      <c r="A169" s="2" t="inlineStr">
        <is>
          <t>Pvp60</t>
        </is>
      </c>
      <c r="B169" s="2" t="n">
        <v>48</v>
      </c>
      <c r="C169" s="2" t="n">
        <v>2995</v>
      </c>
      <c r="D169" s="2" t="n">
        <v>97</v>
      </c>
      <c r="E169" s="2" t="n">
        <v>498649</v>
      </c>
      <c r="F169" s="2" t="n">
        <v>50</v>
      </c>
      <c r="G169" s="2" t="n">
        <v>87520</v>
      </c>
      <c r="H169" s="2" t="n">
        <v>41920</v>
      </c>
      <c r="I169" s="2" t="n">
        <v>24</v>
      </c>
    </row>
    <row r="170">
      <c r="A170" s="2" t="inlineStr">
        <is>
          <t>Pvp60</t>
        </is>
      </c>
      <c r="B170" s="2" t="n">
        <v>49</v>
      </c>
      <c r="C170" s="2" t="n">
        <v>3058</v>
      </c>
      <c r="D170" s="2" t="n">
        <v>98</v>
      </c>
      <c r="E170" s="2" t="n">
        <v>509065</v>
      </c>
      <c r="F170" s="2" t="n">
        <v>50</v>
      </c>
      <c r="G170" s="2" t="n">
        <v>89135</v>
      </c>
      <c r="H170" s="2" t="n">
        <v>43535</v>
      </c>
      <c r="I170" s="2" t="n">
        <v>24</v>
      </c>
    </row>
    <row r="171">
      <c r="A171" s="2" t="inlineStr">
        <is>
          <t>Pvp60</t>
        </is>
      </c>
      <c r="B171" s="2" t="n">
        <v>50</v>
      </c>
      <c r="C171" s="2" t="n">
        <v>3120</v>
      </c>
      <c r="D171" s="2" t="n">
        <v>99</v>
      </c>
      <c r="E171" s="2" t="n">
        <v>519882</v>
      </c>
      <c r="F171" s="2" t="n">
        <v>50</v>
      </c>
      <c r="G171" s="2" t="n">
        <v>90700</v>
      </c>
      <c r="H171" s="2" t="n">
        <v>45100</v>
      </c>
      <c r="I171" s="2" t="n">
        <v>24</v>
      </c>
    </row>
    <row r="172">
      <c r="A172" s="2" t="inlineStr">
        <is>
          <t>Pvp60</t>
        </is>
      </c>
      <c r="B172" s="2" t="n">
        <v>51</v>
      </c>
      <c r="C172" s="2" t="n">
        <v>3182</v>
      </c>
      <c r="D172" s="2" t="n">
        <v>100</v>
      </c>
      <c r="E172" s="2" t="n">
        <v>530749</v>
      </c>
      <c r="F172" s="2" t="n">
        <v>50</v>
      </c>
      <c r="G172" s="2" t="n">
        <v>92290</v>
      </c>
      <c r="H172" s="2" t="n">
        <v>46690</v>
      </c>
      <c r="I172" s="2" t="n">
        <v>24</v>
      </c>
    </row>
    <row r="173">
      <c r="A173" s="2" t="inlineStr">
        <is>
          <t>Pvp60</t>
        </is>
      </c>
      <c r="B173" s="2" t="n">
        <v>52</v>
      </c>
      <c r="C173" s="2" t="n">
        <v>3245</v>
      </c>
      <c r="D173" s="2" t="n">
        <v>100</v>
      </c>
      <c r="E173" s="2" t="n">
        <v>541665</v>
      </c>
      <c r="F173" s="2" t="n">
        <v>50</v>
      </c>
      <c r="G173" s="2" t="n">
        <v>93905</v>
      </c>
      <c r="H173" s="2" t="n">
        <v>48305</v>
      </c>
      <c r="I173" s="2" t="n">
        <v>24</v>
      </c>
    </row>
    <row r="174">
      <c r="A174" s="2" t="inlineStr">
        <is>
          <t>Pvp60</t>
        </is>
      </c>
      <c r="B174" s="2" t="n">
        <v>53</v>
      </c>
      <c r="C174" s="2" t="n">
        <v>3307</v>
      </c>
      <c r="D174" s="2" t="n">
        <v>100</v>
      </c>
      <c r="E174" s="2" t="n">
        <v>551732</v>
      </c>
      <c r="F174" s="2" t="n">
        <v>50</v>
      </c>
      <c r="G174" s="2" t="n">
        <v>95345</v>
      </c>
      <c r="H174" s="2" t="n">
        <v>49745</v>
      </c>
      <c r="I174" s="2" t="n">
        <v>24</v>
      </c>
    </row>
    <row r="175">
      <c r="A175" s="2" t="inlineStr">
        <is>
          <t>Pvp60</t>
        </is>
      </c>
      <c r="B175" s="2" t="n">
        <v>54</v>
      </c>
      <c r="C175" s="2" t="n">
        <v>3370</v>
      </c>
      <c r="D175" s="2" t="n">
        <v>100</v>
      </c>
      <c r="E175" s="2" t="n">
        <v>561849</v>
      </c>
      <c r="F175" s="2" t="n">
        <v>50</v>
      </c>
      <c r="G175" s="2" t="n">
        <v>96810</v>
      </c>
      <c r="H175" s="2" t="n">
        <v>51210</v>
      </c>
      <c r="I175" s="2" t="n">
        <v>24</v>
      </c>
    </row>
    <row r="176">
      <c r="A176" s="2" t="inlineStr">
        <is>
          <t>Pvp60</t>
        </is>
      </c>
      <c r="B176" s="2" t="n">
        <v>55</v>
      </c>
      <c r="C176" s="2" t="n">
        <v>3432</v>
      </c>
      <c r="D176" s="2" t="n">
        <v>100</v>
      </c>
      <c r="E176" s="2" t="n">
        <v>572065</v>
      </c>
      <c r="F176" s="2" t="n">
        <v>50</v>
      </c>
      <c r="G176" s="2" t="n">
        <v>98325</v>
      </c>
      <c r="H176" s="2" t="n">
        <v>52725</v>
      </c>
      <c r="I176" s="2" t="n">
        <v>24</v>
      </c>
    </row>
    <row r="177">
      <c r="A177" s="2" t="inlineStr">
        <is>
          <t>Pvp60</t>
        </is>
      </c>
      <c r="B177" s="2" t="n">
        <v>56</v>
      </c>
      <c r="C177" s="2" t="n">
        <v>3494</v>
      </c>
      <c r="D177" s="2" t="n">
        <v>100</v>
      </c>
      <c r="E177" s="2" t="n">
        <v>582482</v>
      </c>
      <c r="F177" s="2" t="n">
        <v>50</v>
      </c>
      <c r="G177" s="2" t="n">
        <v>99940</v>
      </c>
      <c r="H177" s="2" t="n">
        <v>54340</v>
      </c>
      <c r="I177" s="2" t="n">
        <v>24</v>
      </c>
    </row>
    <row r="178">
      <c r="A178" s="2" t="inlineStr">
        <is>
          <t>Pvp60</t>
        </is>
      </c>
      <c r="B178" s="2" t="n">
        <v>57</v>
      </c>
      <c r="C178" s="2" t="n">
        <v>3557</v>
      </c>
      <c r="D178" s="2" t="n">
        <v>100</v>
      </c>
      <c r="E178" s="2" t="n">
        <v>594199</v>
      </c>
      <c r="F178" s="2" t="n">
        <v>50</v>
      </c>
      <c r="G178" s="2" t="n">
        <v>101705</v>
      </c>
      <c r="H178" s="2" t="n">
        <v>56105</v>
      </c>
      <c r="I178" s="2" t="n">
        <v>24</v>
      </c>
    </row>
    <row r="179">
      <c r="A179" s="2" t="inlineStr">
        <is>
          <t>Pvp60</t>
        </is>
      </c>
      <c r="B179" s="2" t="n">
        <v>58</v>
      </c>
      <c r="C179" s="2" t="n">
        <v>3619</v>
      </c>
      <c r="D179" s="2" t="n">
        <v>100</v>
      </c>
      <c r="E179" s="2" t="n">
        <v>604165</v>
      </c>
      <c r="F179" s="2" t="n">
        <v>50</v>
      </c>
      <c r="G179" s="2" t="n">
        <v>103095</v>
      </c>
      <c r="H179" s="2" t="n">
        <v>57495</v>
      </c>
      <c r="I179" s="2" t="n">
        <v>24</v>
      </c>
    </row>
    <row r="180">
      <c r="A180" s="2" t="inlineStr">
        <is>
          <t>Pvp60</t>
        </is>
      </c>
      <c r="B180" s="2" t="n">
        <v>59</v>
      </c>
      <c r="C180" s="2" t="n">
        <v>3682</v>
      </c>
      <c r="D180" s="2" t="n">
        <v>100</v>
      </c>
      <c r="E180" s="2" t="n">
        <v>613932</v>
      </c>
      <c r="F180" s="2" t="n">
        <v>50</v>
      </c>
      <c r="G180" s="2" t="n">
        <v>104460</v>
      </c>
      <c r="H180" s="2" t="n">
        <v>58860</v>
      </c>
      <c r="I180" s="2" t="n">
        <v>24</v>
      </c>
    </row>
    <row r="181">
      <c r="A181" s="2" t="inlineStr">
        <is>
          <t>Pvp60</t>
        </is>
      </c>
      <c r="B181" s="2" t="n">
        <v>60</v>
      </c>
      <c r="C181" s="2" t="n">
        <v>3744</v>
      </c>
      <c r="D181" s="2" t="n">
        <v>100</v>
      </c>
      <c r="E181" s="2" t="n">
        <v>623999</v>
      </c>
      <c r="F181" s="2" t="n">
        <v>50</v>
      </c>
      <c r="G181" s="2" t="n">
        <v>105900</v>
      </c>
      <c r="H181" s="2" t="n">
        <v>60300</v>
      </c>
      <c r="I181" s="2" t="n">
        <v>24</v>
      </c>
    </row>
    <row r="182">
      <c r="A182" s="2" t="inlineStr">
        <is>
          <t>Farmer</t>
        </is>
      </c>
      <c r="B182" s="2" t="n">
        <v>1</v>
      </c>
      <c r="C182" s="2" t="n">
        <v>60</v>
      </c>
      <c r="D182" s="2" t="n">
        <v>11</v>
      </c>
      <c r="E182" s="2" t="n">
        <v>3610</v>
      </c>
      <c r="F182" s="2" t="n">
        <v>10</v>
      </c>
      <c r="G182" s="2" t="n">
        <v>1070</v>
      </c>
      <c r="H182" s="2" t="n">
        <v>470</v>
      </c>
      <c r="I182" s="2" t="n">
        <v>3</v>
      </c>
    </row>
    <row r="183">
      <c r="A183" s="2" t="inlineStr">
        <is>
          <t>Farmer</t>
        </is>
      </c>
      <c r="B183" s="2" t="n">
        <v>2</v>
      </c>
      <c r="C183" s="2" t="n">
        <v>120</v>
      </c>
      <c r="D183" s="2" t="n">
        <v>15</v>
      </c>
      <c r="E183" s="2" t="n">
        <v>6370</v>
      </c>
      <c r="F183" s="2" t="n">
        <v>13</v>
      </c>
      <c r="G183" s="2" t="n">
        <v>1755</v>
      </c>
      <c r="H183" s="2" t="n">
        <v>555</v>
      </c>
      <c r="I183" s="2" t="n">
        <v>4</v>
      </c>
    </row>
    <row r="184">
      <c r="A184" s="2" t="inlineStr">
        <is>
          <t>Farmer</t>
        </is>
      </c>
      <c r="B184" s="2" t="n">
        <v>3</v>
      </c>
      <c r="C184" s="2" t="n">
        <v>180</v>
      </c>
      <c r="D184" s="2" t="n">
        <v>17</v>
      </c>
      <c r="E184" s="2" t="n">
        <v>9180</v>
      </c>
      <c r="F184" s="2" t="n">
        <v>16</v>
      </c>
      <c r="G184" s="2" t="n">
        <v>2375</v>
      </c>
      <c r="H184" s="2" t="n">
        <v>575</v>
      </c>
      <c r="I184" s="2" t="n">
        <v>6</v>
      </c>
    </row>
    <row r="185">
      <c r="A185" s="2" t="inlineStr">
        <is>
          <t>Farmer</t>
        </is>
      </c>
      <c r="B185" s="2" t="n">
        <v>4</v>
      </c>
      <c r="C185" s="2" t="n">
        <v>240</v>
      </c>
      <c r="D185" s="2" t="n">
        <v>20</v>
      </c>
      <c r="E185" s="2" t="n">
        <v>12040</v>
      </c>
      <c r="F185" s="2" t="n">
        <v>18</v>
      </c>
      <c r="G185" s="2" t="n">
        <v>3060</v>
      </c>
      <c r="H185" s="2" t="n">
        <v>660</v>
      </c>
      <c r="I185" s="2" t="n">
        <v>7</v>
      </c>
    </row>
    <row r="186">
      <c r="A186" s="2" t="inlineStr">
        <is>
          <t>Farmer</t>
        </is>
      </c>
      <c r="B186" s="2" t="n">
        <v>5</v>
      </c>
      <c r="C186" s="2" t="n">
        <v>300</v>
      </c>
      <c r="D186" s="2" t="n">
        <v>21</v>
      </c>
      <c r="E186" s="2" t="n">
        <v>14950</v>
      </c>
      <c r="F186" s="2" t="n">
        <v>20</v>
      </c>
      <c r="G186" s="2" t="n">
        <v>3600</v>
      </c>
      <c r="H186" s="2" t="n">
        <v>1200</v>
      </c>
      <c r="I186" s="2" t="n">
        <v>8</v>
      </c>
    </row>
    <row r="187">
      <c r="A187" s="2" t="inlineStr">
        <is>
          <t>Farmer</t>
        </is>
      </c>
      <c r="B187" s="2" t="n">
        <v>6</v>
      </c>
      <c r="C187" s="2" t="n">
        <v>360</v>
      </c>
      <c r="D187" s="2" t="n">
        <v>23</v>
      </c>
      <c r="E187" s="2" t="n">
        <v>17960</v>
      </c>
      <c r="F187" s="2" t="n">
        <v>22</v>
      </c>
      <c r="G187" s="2" t="n">
        <v>4450</v>
      </c>
      <c r="H187" s="2" t="n">
        <v>250</v>
      </c>
      <c r="I187" s="2" t="n">
        <v>9</v>
      </c>
    </row>
    <row r="188">
      <c r="A188" s="2" t="inlineStr">
        <is>
          <t>Farmer</t>
        </is>
      </c>
      <c r="B188" s="2" t="n">
        <v>7</v>
      </c>
      <c r="C188" s="2" t="n">
        <v>421</v>
      </c>
      <c r="D188" s="2" t="n">
        <v>25</v>
      </c>
      <c r="E188" s="2" t="n">
        <v>21170</v>
      </c>
      <c r="F188" s="2" t="n">
        <v>25</v>
      </c>
      <c r="G188" s="2" t="n">
        <v>5480</v>
      </c>
      <c r="H188" s="2" t="n">
        <v>1280</v>
      </c>
      <c r="I188" s="2" t="n">
        <v>10</v>
      </c>
    </row>
    <row r="189">
      <c r="A189" s="2" t="inlineStr">
        <is>
          <t>Farmer</t>
        </is>
      </c>
      <c r="B189" s="2" t="n">
        <v>8</v>
      </c>
      <c r="C189" s="2" t="n">
        <v>481</v>
      </c>
      <c r="D189" s="2" t="n">
        <v>27</v>
      </c>
      <c r="E189" s="2" t="n">
        <v>25430</v>
      </c>
      <c r="F189" s="2" t="n">
        <v>29</v>
      </c>
      <c r="G189" s="2" t="n">
        <v>7390</v>
      </c>
      <c r="H189" s="2" t="n">
        <v>1390</v>
      </c>
      <c r="I189" s="2" t="n">
        <v>11</v>
      </c>
    </row>
    <row r="190">
      <c r="A190" s="2" t="inlineStr">
        <is>
          <t>Farmer</t>
        </is>
      </c>
      <c r="B190" s="2" t="n">
        <v>9</v>
      </c>
      <c r="C190" s="2" t="n">
        <v>541</v>
      </c>
      <c r="D190" s="2" t="n">
        <v>28</v>
      </c>
      <c r="E190" s="2" t="n">
        <v>28190</v>
      </c>
      <c r="F190" s="2" t="n">
        <v>30</v>
      </c>
      <c r="G190" s="2" t="n">
        <v>7655</v>
      </c>
      <c r="H190" s="2" t="n">
        <v>1655</v>
      </c>
      <c r="I190" s="2" t="n">
        <v>12</v>
      </c>
    </row>
    <row r="191">
      <c r="A191" s="2" t="inlineStr">
        <is>
          <t>Farmer</t>
        </is>
      </c>
      <c r="B191" s="2" t="n">
        <v>10</v>
      </c>
      <c r="C191" s="2" t="n">
        <v>601</v>
      </c>
      <c r="D191" s="2" t="n">
        <v>30</v>
      </c>
      <c r="E191" s="2" t="n">
        <v>31000</v>
      </c>
      <c r="F191" s="2" t="n">
        <v>32</v>
      </c>
      <c r="G191" s="2" t="n">
        <v>8725</v>
      </c>
      <c r="H191" s="2" t="n">
        <v>2725</v>
      </c>
      <c r="I191" s="2" t="n">
        <v>12</v>
      </c>
    </row>
    <row r="192">
      <c r="A192" s="2" t="inlineStr">
        <is>
          <t>Farmer</t>
        </is>
      </c>
      <c r="B192" s="2" t="n">
        <v>11</v>
      </c>
      <c r="C192" s="2" t="n">
        <v>661</v>
      </c>
      <c r="D192" s="2" t="n">
        <v>31</v>
      </c>
      <c r="E192" s="2" t="n">
        <v>33860</v>
      </c>
      <c r="F192" s="2" t="n">
        <v>33</v>
      </c>
      <c r="G192" s="2" t="n">
        <v>9460</v>
      </c>
      <c r="H192" s="2" t="n">
        <v>1660</v>
      </c>
      <c r="I192" s="2" t="n">
        <v>13</v>
      </c>
    </row>
    <row r="193">
      <c r="A193" s="2" t="inlineStr">
        <is>
          <t>Farmer</t>
        </is>
      </c>
      <c r="B193" s="2" t="n">
        <v>12</v>
      </c>
      <c r="C193" s="2" t="n">
        <v>721</v>
      </c>
      <c r="D193" s="2" t="n">
        <v>32</v>
      </c>
      <c r="E193" s="2" t="n">
        <v>36770</v>
      </c>
      <c r="F193" s="2" t="n">
        <v>34</v>
      </c>
      <c r="G193" s="2" t="n">
        <v>10240</v>
      </c>
      <c r="H193" s="2" t="n">
        <v>640</v>
      </c>
      <c r="I193" s="2" t="n">
        <v>14</v>
      </c>
    </row>
    <row r="194">
      <c r="A194" s="2" t="inlineStr">
        <is>
          <t>Farmer</t>
        </is>
      </c>
      <c r="B194" s="2" t="n">
        <v>13</v>
      </c>
      <c r="C194" s="2" t="n">
        <v>781</v>
      </c>
      <c r="D194" s="2" t="n">
        <v>33</v>
      </c>
      <c r="E194" s="2" t="n">
        <v>39780</v>
      </c>
      <c r="F194" s="2" t="n">
        <v>36</v>
      </c>
      <c r="G194" s="2" t="n">
        <v>11090</v>
      </c>
      <c r="H194" s="2" t="n">
        <v>1490</v>
      </c>
      <c r="I194" s="2" t="n">
        <v>15</v>
      </c>
    </row>
    <row r="195">
      <c r="A195" s="2" t="inlineStr">
        <is>
          <t>Farmer</t>
        </is>
      </c>
      <c r="B195" s="2" t="n">
        <v>14</v>
      </c>
      <c r="C195" s="2" t="n">
        <v>841</v>
      </c>
      <c r="D195" s="2" t="n">
        <v>34</v>
      </c>
      <c r="E195" s="2" t="n">
        <v>42990</v>
      </c>
      <c r="F195" s="2" t="n">
        <v>37</v>
      </c>
      <c r="G195" s="2" t="n">
        <v>12060</v>
      </c>
      <c r="H195" s="2" t="n">
        <v>2460</v>
      </c>
      <c r="I195" s="2" t="n">
        <v>15</v>
      </c>
    </row>
    <row r="196">
      <c r="A196" s="2" t="inlineStr">
        <is>
          <t>Farmer</t>
        </is>
      </c>
      <c r="B196" s="2" t="n">
        <v>15</v>
      </c>
      <c r="C196" s="2" t="n">
        <v>901</v>
      </c>
      <c r="D196" s="2" t="n">
        <v>36</v>
      </c>
      <c r="E196" s="2" t="n">
        <v>47500</v>
      </c>
      <c r="F196" s="2" t="n">
        <v>41</v>
      </c>
      <c r="G196" s="2" t="n">
        <v>14350</v>
      </c>
      <c r="H196" s="2" t="n">
        <v>750</v>
      </c>
      <c r="I196" s="2" t="n">
        <v>17</v>
      </c>
    </row>
    <row r="197">
      <c r="A197" s="2" t="inlineStr">
        <is>
          <t>Farmer</t>
        </is>
      </c>
      <c r="B197" s="2" t="n">
        <v>16</v>
      </c>
      <c r="C197" s="2" t="n">
        <v>961</v>
      </c>
      <c r="D197" s="2" t="n">
        <v>36</v>
      </c>
      <c r="E197" s="2" t="n">
        <v>50260</v>
      </c>
      <c r="F197" s="2" t="n">
        <v>42</v>
      </c>
      <c r="G197" s="2" t="n">
        <v>15265</v>
      </c>
      <c r="H197" s="2" t="n">
        <v>1665</v>
      </c>
      <c r="I197" s="2" t="n">
        <v>17</v>
      </c>
    </row>
    <row r="198">
      <c r="A198" s="2" t="inlineStr">
        <is>
          <t>Farmer</t>
        </is>
      </c>
      <c r="B198" s="2" t="n">
        <v>17</v>
      </c>
      <c r="C198" s="2" t="n">
        <v>1021</v>
      </c>
      <c r="D198" s="2" t="n">
        <v>37</v>
      </c>
      <c r="E198" s="2" t="n">
        <v>53070</v>
      </c>
      <c r="F198" s="2" t="n">
        <v>43</v>
      </c>
      <c r="G198" s="2" t="n">
        <v>16255</v>
      </c>
      <c r="H198" s="2" t="n">
        <v>2655</v>
      </c>
      <c r="I198" s="2" t="n">
        <v>17</v>
      </c>
    </row>
    <row r="199">
      <c r="A199" s="2" t="inlineStr">
        <is>
          <t>Farmer</t>
        </is>
      </c>
      <c r="B199" s="2" t="n">
        <v>18</v>
      </c>
      <c r="C199" s="2" t="n">
        <v>1081</v>
      </c>
      <c r="D199" s="2" t="n">
        <v>38</v>
      </c>
      <c r="E199" s="2" t="n">
        <v>55680</v>
      </c>
      <c r="F199" s="2" t="n">
        <v>43</v>
      </c>
      <c r="G199" s="2" t="n">
        <v>16520</v>
      </c>
      <c r="H199" s="2" t="n">
        <v>2920</v>
      </c>
      <c r="I199" s="2" t="n">
        <v>17</v>
      </c>
    </row>
    <row r="200">
      <c r="A200" s="2" t="inlineStr">
        <is>
          <t>Farmer</t>
        </is>
      </c>
      <c r="B200" s="2" t="n">
        <v>19</v>
      </c>
      <c r="C200" s="2" t="n">
        <v>1141</v>
      </c>
      <c r="D200" s="2" t="n">
        <v>39</v>
      </c>
      <c r="E200" s="2" t="n">
        <v>58590</v>
      </c>
      <c r="F200" s="2" t="n">
        <v>44</v>
      </c>
      <c r="G200" s="2" t="n">
        <v>17610</v>
      </c>
      <c r="H200" s="2" t="n">
        <v>10</v>
      </c>
      <c r="I200" s="2" t="n">
        <v>18</v>
      </c>
    </row>
    <row r="201">
      <c r="A201" s="2" t="inlineStr">
        <is>
          <t>Farmer</t>
        </is>
      </c>
      <c r="B201" s="2" t="n">
        <v>20</v>
      </c>
      <c r="C201" s="2" t="n">
        <v>1201</v>
      </c>
      <c r="D201" s="2" t="n">
        <v>40</v>
      </c>
      <c r="E201" s="2" t="n">
        <v>61600</v>
      </c>
      <c r="F201" s="2" t="n">
        <v>46</v>
      </c>
      <c r="G201" s="2" t="n">
        <v>18800</v>
      </c>
      <c r="H201" s="2" t="n">
        <v>1200</v>
      </c>
      <c r="I201" s="2" t="n">
        <v>19</v>
      </c>
    </row>
    <row r="202">
      <c r="A202" s="2" t="inlineStr">
        <is>
          <t>Farmer</t>
        </is>
      </c>
      <c r="B202" s="2" t="n">
        <v>21</v>
      </c>
      <c r="C202" s="2" t="n">
        <v>1262</v>
      </c>
      <c r="D202" s="2" t="n">
        <v>41</v>
      </c>
      <c r="E202" s="2" t="n">
        <v>64560</v>
      </c>
      <c r="F202" s="2" t="n">
        <v>47</v>
      </c>
      <c r="G202" s="2" t="n">
        <v>20140</v>
      </c>
      <c r="H202" s="2" t="n">
        <v>2540</v>
      </c>
      <c r="I202" s="2" t="n">
        <v>19</v>
      </c>
    </row>
    <row r="203">
      <c r="A203" s="2" t="inlineStr">
        <is>
          <t>Farmer</t>
        </is>
      </c>
      <c r="B203" s="2" t="n">
        <v>22</v>
      </c>
      <c r="C203" s="2" t="n">
        <v>1322</v>
      </c>
      <c r="D203" s="2" t="n">
        <v>42</v>
      </c>
      <c r="E203" s="2" t="n">
        <v>68170</v>
      </c>
      <c r="F203" s="2" t="n">
        <v>48</v>
      </c>
      <c r="G203" s="2" t="n">
        <v>21580</v>
      </c>
      <c r="H203" s="2" t="n">
        <v>3980</v>
      </c>
      <c r="I203" s="2" t="n">
        <v>19</v>
      </c>
    </row>
    <row r="204">
      <c r="A204" s="2" t="inlineStr">
        <is>
          <t>Farmer</t>
        </is>
      </c>
      <c r="B204" s="2" t="n">
        <v>23</v>
      </c>
      <c r="C204" s="2" t="n">
        <v>1382</v>
      </c>
      <c r="D204" s="2" t="n">
        <v>42</v>
      </c>
      <c r="E204" s="2" t="n">
        <v>70930</v>
      </c>
      <c r="F204" s="2" t="n">
        <v>49</v>
      </c>
      <c r="G204" s="2" t="n">
        <v>23095</v>
      </c>
      <c r="H204" s="2" t="n">
        <v>5495</v>
      </c>
      <c r="I204" s="2" t="n">
        <v>19</v>
      </c>
    </row>
    <row r="205">
      <c r="A205" s="2" t="inlineStr">
        <is>
          <t>Farmer</t>
        </is>
      </c>
      <c r="B205" s="2" t="n">
        <v>24</v>
      </c>
      <c r="C205" s="2" t="n">
        <v>1442</v>
      </c>
      <c r="D205" s="2" t="n">
        <v>43</v>
      </c>
      <c r="E205" s="2" t="n">
        <v>73740</v>
      </c>
      <c r="F205" s="2" t="n">
        <v>50</v>
      </c>
      <c r="G205" s="2" t="n">
        <v>23385</v>
      </c>
      <c r="H205" s="2" t="n">
        <v>5785</v>
      </c>
      <c r="I205" s="2" t="n">
        <v>20</v>
      </c>
    </row>
    <row r="206">
      <c r="A206" s="2" t="inlineStr">
        <is>
          <t>Farmer</t>
        </is>
      </c>
      <c r="B206" s="2" t="n">
        <v>25</v>
      </c>
      <c r="C206" s="2" t="n">
        <v>1502</v>
      </c>
      <c r="D206" s="2" t="n">
        <v>44</v>
      </c>
      <c r="E206" s="2" t="n">
        <v>76600</v>
      </c>
      <c r="F206" s="2" t="n">
        <v>50</v>
      </c>
      <c r="G206" s="2" t="n">
        <v>23700</v>
      </c>
      <c r="H206" s="2" t="n">
        <v>2100</v>
      </c>
      <c r="I206" s="2" t="n">
        <v>21</v>
      </c>
    </row>
    <row r="207">
      <c r="A207" s="2" t="inlineStr">
        <is>
          <t>Farmer</t>
        </is>
      </c>
      <c r="B207" s="2" t="n">
        <v>26</v>
      </c>
      <c r="C207" s="2" t="n">
        <v>1562</v>
      </c>
      <c r="D207" s="2" t="n">
        <v>44</v>
      </c>
      <c r="E207" s="2" t="n">
        <v>79260</v>
      </c>
      <c r="F207" s="2" t="n">
        <v>50</v>
      </c>
      <c r="G207" s="2" t="n">
        <v>23990</v>
      </c>
      <c r="H207" s="2" t="n">
        <v>2390</v>
      </c>
      <c r="I207" s="2" t="n">
        <v>21</v>
      </c>
    </row>
    <row r="208">
      <c r="A208" s="2" t="inlineStr">
        <is>
          <t>Farmer</t>
        </is>
      </c>
      <c r="B208" s="2" t="n">
        <v>27</v>
      </c>
      <c r="C208" s="2" t="n">
        <v>1622</v>
      </c>
      <c r="D208" s="2" t="n">
        <v>45</v>
      </c>
      <c r="E208" s="2" t="n">
        <v>82020</v>
      </c>
      <c r="F208" s="2" t="n">
        <v>50</v>
      </c>
      <c r="G208" s="2" t="n">
        <v>24330</v>
      </c>
      <c r="H208" s="2" t="n">
        <v>2730</v>
      </c>
      <c r="I208" s="2" t="n">
        <v>21</v>
      </c>
    </row>
    <row r="209">
      <c r="A209" s="2" t="inlineStr">
        <is>
          <t>Farmer</t>
        </is>
      </c>
      <c r="B209" s="2" t="n">
        <v>28</v>
      </c>
      <c r="C209" s="2" t="n">
        <v>1682</v>
      </c>
      <c r="D209" s="2" t="n">
        <v>46</v>
      </c>
      <c r="E209" s="2" t="n">
        <v>85230</v>
      </c>
      <c r="F209" s="2" t="n">
        <v>50</v>
      </c>
      <c r="G209" s="2" t="n">
        <v>24820</v>
      </c>
      <c r="H209" s="2" t="n">
        <v>3220</v>
      </c>
      <c r="I209" s="2" t="n">
        <v>21</v>
      </c>
    </row>
    <row r="210">
      <c r="A210" s="2" t="inlineStr">
        <is>
          <t>Farmer</t>
        </is>
      </c>
      <c r="B210" s="2" t="n">
        <v>29</v>
      </c>
      <c r="C210" s="2" t="n">
        <v>1742</v>
      </c>
      <c r="D210" s="2" t="n">
        <v>47</v>
      </c>
      <c r="E210" s="2" t="n">
        <v>88840</v>
      </c>
      <c r="F210" s="2" t="n">
        <v>50</v>
      </c>
      <c r="G210" s="2" t="n">
        <v>25260</v>
      </c>
      <c r="H210" s="2" t="n">
        <v>3660</v>
      </c>
      <c r="I210" s="2" t="n">
        <v>21</v>
      </c>
    </row>
    <row r="211">
      <c r="A211" s="2" t="inlineStr">
        <is>
          <t>Farmer</t>
        </is>
      </c>
      <c r="B211" s="2" t="n">
        <v>30</v>
      </c>
      <c r="C211" s="2" t="n">
        <v>1802</v>
      </c>
      <c r="D211" s="2" t="n">
        <v>47</v>
      </c>
      <c r="E211" s="2" t="n">
        <v>91350</v>
      </c>
      <c r="F211" s="2" t="n">
        <v>50</v>
      </c>
      <c r="G211" s="2" t="n">
        <v>25475</v>
      </c>
      <c r="H211" s="2" t="n">
        <v>3875</v>
      </c>
      <c r="I211" s="2" t="n">
        <v>21</v>
      </c>
    </row>
    <row r="212">
      <c r="A212" s="2" t="inlineStr">
        <is>
          <t>Farmer</t>
        </is>
      </c>
      <c r="B212" s="2" t="n">
        <v>31</v>
      </c>
      <c r="C212" s="2" t="n">
        <v>1862</v>
      </c>
      <c r="D212" s="2" t="n">
        <v>48</v>
      </c>
      <c r="E212" s="2" t="n">
        <v>94160</v>
      </c>
      <c r="F212" s="2" t="n">
        <v>50</v>
      </c>
      <c r="G212" s="2" t="n">
        <v>25765</v>
      </c>
      <c r="H212" s="2" t="n">
        <v>4165</v>
      </c>
      <c r="I212" s="2" t="n">
        <v>21</v>
      </c>
    </row>
    <row r="213">
      <c r="A213" s="2" t="inlineStr">
        <is>
          <t>Farmer</t>
        </is>
      </c>
      <c r="B213" s="2" t="n">
        <v>32</v>
      </c>
      <c r="C213" s="2" t="n">
        <v>1922</v>
      </c>
      <c r="D213" s="2" t="n">
        <v>48</v>
      </c>
      <c r="E213" s="2" t="n">
        <v>96770</v>
      </c>
      <c r="F213" s="2" t="n">
        <v>50</v>
      </c>
      <c r="G213" s="2" t="n">
        <v>26030</v>
      </c>
      <c r="H213" s="2" t="n">
        <v>4430</v>
      </c>
      <c r="I213" s="2" t="n">
        <v>21</v>
      </c>
    </row>
    <row r="214">
      <c r="A214" s="2" t="inlineStr">
        <is>
          <t>Farmer</t>
        </is>
      </c>
      <c r="B214" s="2" t="n">
        <v>33</v>
      </c>
      <c r="C214" s="2" t="n">
        <v>1982</v>
      </c>
      <c r="D214" s="2" t="n">
        <v>49</v>
      </c>
      <c r="E214" s="2" t="n">
        <v>99680</v>
      </c>
      <c r="F214" s="2" t="n">
        <v>50</v>
      </c>
      <c r="G214" s="2" t="n">
        <v>26370</v>
      </c>
      <c r="H214" s="2" t="n">
        <v>4770</v>
      </c>
      <c r="I214" s="2" t="n">
        <v>21</v>
      </c>
    </row>
    <row r="215">
      <c r="A215" s="2" t="inlineStr">
        <is>
          <t>Farmer</t>
        </is>
      </c>
      <c r="B215" s="2" t="n">
        <v>34</v>
      </c>
      <c r="C215" s="2" t="n">
        <v>2043</v>
      </c>
      <c r="D215" s="2" t="n">
        <v>50</v>
      </c>
      <c r="E215" s="2" t="n">
        <v>102690</v>
      </c>
      <c r="F215" s="2" t="n">
        <v>50</v>
      </c>
      <c r="G215" s="2" t="n">
        <v>26760</v>
      </c>
      <c r="H215" s="2" t="n">
        <v>5160</v>
      </c>
      <c r="I215" s="2" t="n">
        <v>21</v>
      </c>
    </row>
    <row r="216">
      <c r="A216" s="2" t="inlineStr">
        <is>
          <t>Farmer</t>
        </is>
      </c>
      <c r="B216" s="2" t="n">
        <v>35</v>
      </c>
      <c r="C216" s="2" t="n">
        <v>2103</v>
      </c>
      <c r="D216" s="2" t="n">
        <v>50</v>
      </c>
      <c r="E216" s="2" t="n">
        <v>105900</v>
      </c>
      <c r="F216" s="2" t="n">
        <v>50</v>
      </c>
      <c r="G216" s="2" t="n">
        <v>27250</v>
      </c>
      <c r="H216" s="2" t="n">
        <v>5650</v>
      </c>
      <c r="I216" s="2" t="n">
        <v>21</v>
      </c>
    </row>
    <row r="217">
      <c r="A217" s="2" t="inlineStr">
        <is>
          <t>Farmer</t>
        </is>
      </c>
      <c r="B217" s="2" t="n">
        <v>36</v>
      </c>
      <c r="C217" s="2" t="n">
        <v>2163</v>
      </c>
      <c r="D217" s="2" t="n">
        <v>51</v>
      </c>
      <c r="E217" s="2" t="n">
        <v>109510</v>
      </c>
      <c r="F217" s="2" t="n">
        <v>50</v>
      </c>
      <c r="G217" s="2" t="n">
        <v>27690</v>
      </c>
      <c r="H217" s="2" t="n">
        <v>6090</v>
      </c>
      <c r="I217" s="2" t="n">
        <v>21</v>
      </c>
    </row>
    <row r="218">
      <c r="A218" s="2" t="inlineStr">
        <is>
          <t>Farmer</t>
        </is>
      </c>
      <c r="B218" s="2" t="n">
        <v>37</v>
      </c>
      <c r="C218" s="2" t="n">
        <v>2223</v>
      </c>
      <c r="D218" s="2" t="n">
        <v>52</v>
      </c>
      <c r="E218" s="2" t="n">
        <v>112270</v>
      </c>
      <c r="F218" s="2" t="n">
        <v>50</v>
      </c>
      <c r="G218" s="2" t="n">
        <v>27955</v>
      </c>
      <c r="H218" s="2" t="n">
        <v>6355</v>
      </c>
      <c r="I218" s="2" t="n">
        <v>21</v>
      </c>
    </row>
    <row r="219">
      <c r="A219" s="2" t="inlineStr">
        <is>
          <t>Farmer</t>
        </is>
      </c>
      <c r="B219" s="2" t="n">
        <v>38</v>
      </c>
      <c r="C219" s="2" t="n">
        <v>2283</v>
      </c>
      <c r="D219" s="2" t="n">
        <v>52</v>
      </c>
      <c r="E219" s="2" t="n">
        <v>115080</v>
      </c>
      <c r="F219" s="2" t="n">
        <v>50</v>
      </c>
      <c r="G219" s="2" t="n">
        <v>28245</v>
      </c>
      <c r="H219" s="2" t="n">
        <v>6645</v>
      </c>
      <c r="I219" s="2" t="n">
        <v>21</v>
      </c>
    </row>
    <row r="220">
      <c r="A220" s="2" t="inlineStr">
        <is>
          <t>Farmer</t>
        </is>
      </c>
      <c r="B220" s="2" t="n">
        <v>39</v>
      </c>
      <c r="C220" s="2" t="n">
        <v>2343</v>
      </c>
      <c r="D220" s="2" t="n">
        <v>53</v>
      </c>
      <c r="E220" s="2" t="n">
        <v>117690</v>
      </c>
      <c r="F220" s="2" t="n">
        <v>50</v>
      </c>
      <c r="G220" s="2" t="n">
        <v>28510</v>
      </c>
      <c r="H220" s="2" t="n">
        <v>6910</v>
      </c>
      <c r="I220" s="2" t="n">
        <v>21</v>
      </c>
    </row>
    <row r="221">
      <c r="A221" s="2" t="inlineStr">
        <is>
          <t>Farmer</t>
        </is>
      </c>
      <c r="B221" s="2" t="n">
        <v>40</v>
      </c>
      <c r="C221" s="2" t="n">
        <v>2403</v>
      </c>
      <c r="D221" s="2" t="n">
        <v>53</v>
      </c>
      <c r="E221" s="2" t="n">
        <v>120600</v>
      </c>
      <c r="F221" s="2" t="n">
        <v>50</v>
      </c>
      <c r="G221" s="2" t="n">
        <v>28850</v>
      </c>
      <c r="H221" s="2" t="n">
        <v>7250</v>
      </c>
      <c r="I221" s="2" t="n">
        <v>21</v>
      </c>
    </row>
    <row r="222">
      <c r="A222" s="2" t="inlineStr">
        <is>
          <t>Farmer</t>
        </is>
      </c>
      <c r="B222" s="2" t="n">
        <v>41</v>
      </c>
      <c r="C222" s="2" t="n">
        <v>2463</v>
      </c>
      <c r="D222" s="2" t="n">
        <v>54</v>
      </c>
      <c r="E222" s="2" t="n">
        <v>123610</v>
      </c>
      <c r="F222" s="2" t="n">
        <v>50</v>
      </c>
      <c r="G222" s="2" t="n">
        <v>29240</v>
      </c>
      <c r="H222" s="2" t="n">
        <v>7640</v>
      </c>
      <c r="I222" s="2" t="n">
        <v>21</v>
      </c>
    </row>
    <row r="223">
      <c r="A223" s="2" t="inlineStr">
        <is>
          <t>Farmer</t>
        </is>
      </c>
      <c r="B223" s="2" t="n">
        <v>42</v>
      </c>
      <c r="C223" s="2" t="n">
        <v>2523</v>
      </c>
      <c r="D223" s="2" t="n">
        <v>54</v>
      </c>
      <c r="E223" s="2" t="n">
        <v>126820</v>
      </c>
      <c r="F223" s="2" t="n">
        <v>50</v>
      </c>
      <c r="G223" s="2" t="n">
        <v>29730</v>
      </c>
      <c r="H223" s="2" t="n">
        <v>130</v>
      </c>
      <c r="I223" s="2" t="n">
        <v>22</v>
      </c>
    </row>
    <row r="224">
      <c r="A224" s="2" t="inlineStr">
        <is>
          <t>Farmer</t>
        </is>
      </c>
      <c r="B224" s="2" t="n">
        <v>43</v>
      </c>
      <c r="C224" s="2" t="n">
        <v>2583</v>
      </c>
      <c r="D224" s="2" t="n">
        <v>55</v>
      </c>
      <c r="E224" s="2" t="n">
        <v>131330</v>
      </c>
      <c r="F224" s="2" t="n">
        <v>50</v>
      </c>
      <c r="G224" s="2" t="n">
        <v>30370</v>
      </c>
      <c r="H224" s="2" t="n">
        <v>770</v>
      </c>
      <c r="I224" s="2" t="n">
        <v>22</v>
      </c>
    </row>
    <row r="225">
      <c r="A225" s="2" t="inlineStr">
        <is>
          <t>Farmer</t>
        </is>
      </c>
      <c r="B225" s="2" t="n">
        <v>44</v>
      </c>
      <c r="C225" s="2" t="n">
        <v>2643</v>
      </c>
      <c r="D225" s="2" t="n">
        <v>56</v>
      </c>
      <c r="E225" s="2" t="n">
        <v>134090</v>
      </c>
      <c r="F225" s="2" t="n">
        <v>50</v>
      </c>
      <c r="G225" s="2" t="n">
        <v>30635</v>
      </c>
      <c r="H225" s="2" t="n">
        <v>1035</v>
      </c>
      <c r="I225" s="2" t="n">
        <v>22</v>
      </c>
    </row>
    <row r="226">
      <c r="A226" s="2" t="inlineStr">
        <is>
          <t>Farmer</t>
        </is>
      </c>
      <c r="B226" s="2" t="n">
        <v>45</v>
      </c>
      <c r="C226" s="2" t="n">
        <v>2703</v>
      </c>
      <c r="D226" s="2" t="n">
        <v>56</v>
      </c>
      <c r="E226" s="2" t="n">
        <v>136900</v>
      </c>
      <c r="F226" s="2" t="n">
        <v>50</v>
      </c>
      <c r="G226" s="2" t="n">
        <v>30925</v>
      </c>
      <c r="H226" s="2" t="n">
        <v>1325</v>
      </c>
      <c r="I226" s="2" t="n">
        <v>22</v>
      </c>
    </row>
    <row r="227">
      <c r="A227" s="2" t="inlineStr">
        <is>
          <t>Farmer</t>
        </is>
      </c>
      <c r="B227" s="2" t="n">
        <v>46</v>
      </c>
      <c r="C227" s="2" t="n">
        <v>2763</v>
      </c>
      <c r="D227" s="2" t="n">
        <v>57</v>
      </c>
      <c r="E227" s="2" t="n">
        <v>139760</v>
      </c>
      <c r="F227" s="2" t="n">
        <v>50</v>
      </c>
      <c r="G227" s="2" t="n">
        <v>31240</v>
      </c>
      <c r="H227" s="2" t="n">
        <v>1640</v>
      </c>
      <c r="I227" s="2" t="n">
        <v>22</v>
      </c>
    </row>
    <row r="228">
      <c r="A228" s="2" t="inlineStr">
        <is>
          <t>Farmer</t>
        </is>
      </c>
      <c r="B228" s="2" t="n">
        <v>47</v>
      </c>
      <c r="C228" s="2" t="n">
        <v>2823</v>
      </c>
      <c r="D228" s="2" t="n">
        <v>57</v>
      </c>
      <c r="E228" s="2" t="n">
        <v>142670</v>
      </c>
      <c r="F228" s="2" t="n">
        <v>50</v>
      </c>
      <c r="G228" s="2" t="n">
        <v>31580</v>
      </c>
      <c r="H228" s="2" t="n">
        <v>1980</v>
      </c>
      <c r="I228" s="2" t="n">
        <v>22</v>
      </c>
    </row>
    <row r="229">
      <c r="A229" s="2" t="inlineStr">
        <is>
          <t>Farmer</t>
        </is>
      </c>
      <c r="B229" s="2" t="n">
        <v>48</v>
      </c>
      <c r="C229" s="2" t="n">
        <v>2884</v>
      </c>
      <c r="D229" s="2" t="n">
        <v>58</v>
      </c>
      <c r="E229" s="2" t="n">
        <v>145430</v>
      </c>
      <c r="F229" s="2" t="n">
        <v>50</v>
      </c>
      <c r="G229" s="2" t="n">
        <v>31920</v>
      </c>
      <c r="H229" s="2" t="n">
        <v>2320</v>
      </c>
      <c r="I229" s="2" t="n">
        <v>22</v>
      </c>
    </row>
    <row r="230">
      <c r="A230" s="2" t="inlineStr">
        <is>
          <t>Farmer</t>
        </is>
      </c>
      <c r="B230" s="2" t="n">
        <v>49</v>
      </c>
      <c r="C230" s="2" t="n">
        <v>2944</v>
      </c>
      <c r="D230" s="2" t="n">
        <v>58</v>
      </c>
      <c r="E230" s="2" t="n">
        <v>148640</v>
      </c>
      <c r="F230" s="2" t="n">
        <v>50</v>
      </c>
      <c r="G230" s="2" t="n">
        <v>32410</v>
      </c>
      <c r="H230" s="2" t="n">
        <v>2810</v>
      </c>
      <c r="I230" s="2" t="n">
        <v>22</v>
      </c>
    </row>
    <row r="231">
      <c r="A231" s="2" t="inlineStr">
        <is>
          <t>Farmer</t>
        </is>
      </c>
      <c r="B231" s="2" t="n">
        <v>50</v>
      </c>
      <c r="C231" s="2" t="n">
        <v>3004</v>
      </c>
      <c r="D231" s="2" t="n">
        <v>59</v>
      </c>
      <c r="E231" s="2" t="n">
        <v>153150</v>
      </c>
      <c r="F231" s="2" t="n">
        <v>50</v>
      </c>
      <c r="G231" s="2" t="n">
        <v>33050</v>
      </c>
      <c r="H231" s="2" t="n">
        <v>3450</v>
      </c>
      <c r="I231" s="2" t="n">
        <v>22</v>
      </c>
    </row>
    <row r="232">
      <c r="A232" s="2" t="inlineStr">
        <is>
          <t>Farmer</t>
        </is>
      </c>
      <c r="B232" s="2" t="n">
        <v>51</v>
      </c>
      <c r="C232" s="2" t="n">
        <v>3064</v>
      </c>
      <c r="D232" s="2" t="n">
        <v>59</v>
      </c>
      <c r="E232" s="2" t="n">
        <v>155910</v>
      </c>
      <c r="F232" s="2" t="n">
        <v>50</v>
      </c>
      <c r="G232" s="2" t="n">
        <v>33315</v>
      </c>
      <c r="H232" s="2" t="n">
        <v>3715</v>
      </c>
      <c r="I232" s="2" t="n">
        <v>22</v>
      </c>
    </row>
    <row r="233">
      <c r="A233" s="2" t="inlineStr">
        <is>
          <t>Farmer</t>
        </is>
      </c>
      <c r="B233" s="2" t="n">
        <v>52</v>
      </c>
      <c r="C233" s="2" t="n">
        <v>3124</v>
      </c>
      <c r="D233" s="2" t="n">
        <v>60</v>
      </c>
      <c r="E233" s="2" t="n">
        <v>158720</v>
      </c>
      <c r="F233" s="2" t="n">
        <v>50</v>
      </c>
      <c r="G233" s="2" t="n">
        <v>33605</v>
      </c>
      <c r="H233" s="2" t="n">
        <v>4005</v>
      </c>
      <c r="I233" s="2" t="n">
        <v>22</v>
      </c>
    </row>
    <row r="234">
      <c r="A234" s="2" t="inlineStr">
        <is>
          <t>Farmer</t>
        </is>
      </c>
      <c r="B234" s="2" t="n">
        <v>53</v>
      </c>
      <c r="C234" s="2" t="n">
        <v>3184</v>
      </c>
      <c r="D234" s="2" t="n">
        <v>60</v>
      </c>
      <c r="E234" s="2" t="n">
        <v>161580</v>
      </c>
      <c r="F234" s="2" t="n">
        <v>50</v>
      </c>
      <c r="G234" s="2" t="n">
        <v>33920</v>
      </c>
      <c r="H234" s="2" t="n">
        <v>4320</v>
      </c>
      <c r="I234" s="2" t="n">
        <v>22</v>
      </c>
    </row>
    <row r="235">
      <c r="A235" s="2" t="inlineStr">
        <is>
          <t>Farmer</t>
        </is>
      </c>
      <c r="B235" s="2" t="n">
        <v>54</v>
      </c>
      <c r="C235" s="2" t="n">
        <v>3244</v>
      </c>
      <c r="D235" s="2" t="n">
        <v>61</v>
      </c>
      <c r="E235" s="2" t="n">
        <v>164490</v>
      </c>
      <c r="F235" s="2" t="n">
        <v>50</v>
      </c>
      <c r="G235" s="2" t="n">
        <v>34260</v>
      </c>
      <c r="H235" s="2" t="n">
        <v>4660</v>
      </c>
      <c r="I235" s="2" t="n">
        <v>22</v>
      </c>
    </row>
    <row r="236">
      <c r="A236" s="2" t="inlineStr">
        <is>
          <t>Farmer</t>
        </is>
      </c>
      <c r="B236" s="2" t="n">
        <v>55</v>
      </c>
      <c r="C236" s="2" t="n">
        <v>3304</v>
      </c>
      <c r="D236" s="2" t="n">
        <v>61</v>
      </c>
      <c r="E236" s="2" t="n">
        <v>167250</v>
      </c>
      <c r="F236" s="2" t="n">
        <v>50</v>
      </c>
      <c r="G236" s="2" t="n">
        <v>34600</v>
      </c>
      <c r="H236" s="2" t="n">
        <v>5000</v>
      </c>
      <c r="I236" s="2" t="n">
        <v>22</v>
      </c>
    </row>
    <row r="237">
      <c r="A237" s="2" t="inlineStr">
        <is>
          <t>Farmer</t>
        </is>
      </c>
      <c r="B237" s="2" t="n">
        <v>56</v>
      </c>
      <c r="C237" s="2" t="n">
        <v>3364</v>
      </c>
      <c r="D237" s="2" t="n">
        <v>62</v>
      </c>
      <c r="E237" s="2" t="n">
        <v>170460</v>
      </c>
      <c r="F237" s="2" t="n">
        <v>50</v>
      </c>
      <c r="G237" s="2" t="n">
        <v>35090</v>
      </c>
      <c r="H237" s="2" t="n">
        <v>5490</v>
      </c>
      <c r="I237" s="2" t="n">
        <v>22</v>
      </c>
    </row>
    <row r="238">
      <c r="A238" s="2" t="inlineStr">
        <is>
          <t>Farmer</t>
        </is>
      </c>
      <c r="B238" s="2" t="n">
        <v>57</v>
      </c>
      <c r="C238" s="2" t="n">
        <v>3424</v>
      </c>
      <c r="D238" s="2" t="n">
        <v>62</v>
      </c>
      <c r="E238" s="2" t="n">
        <v>174970</v>
      </c>
      <c r="F238" s="2" t="n">
        <v>50</v>
      </c>
      <c r="G238" s="2" t="n">
        <v>35730</v>
      </c>
      <c r="H238" s="2" t="n">
        <v>6130</v>
      </c>
      <c r="I238" s="2" t="n">
        <v>22</v>
      </c>
    </row>
    <row r="239">
      <c r="A239" s="2" t="inlineStr">
        <is>
          <t>Farmer</t>
        </is>
      </c>
      <c r="B239" s="2" t="n">
        <v>58</v>
      </c>
      <c r="C239" s="2" t="n">
        <v>3484</v>
      </c>
      <c r="D239" s="2" t="n">
        <v>63</v>
      </c>
      <c r="E239" s="2" t="n">
        <v>177730</v>
      </c>
      <c r="F239" s="2" t="n">
        <v>50</v>
      </c>
      <c r="G239" s="2" t="n">
        <v>35995</v>
      </c>
      <c r="H239" s="2" t="n">
        <v>6395</v>
      </c>
      <c r="I239" s="2" t="n">
        <v>22</v>
      </c>
    </row>
    <row r="240">
      <c r="A240" s="2" t="inlineStr">
        <is>
          <t>Farmer</t>
        </is>
      </c>
      <c r="B240" s="2" t="n">
        <v>59</v>
      </c>
      <c r="C240" s="2" t="n">
        <v>3544</v>
      </c>
      <c r="D240" s="2" t="n">
        <v>63</v>
      </c>
      <c r="E240" s="2" t="n">
        <v>180540</v>
      </c>
      <c r="F240" s="2" t="n">
        <v>50</v>
      </c>
      <c r="G240" s="2" t="n">
        <v>36285</v>
      </c>
      <c r="H240" s="2" t="n">
        <v>6685</v>
      </c>
      <c r="I240" s="2" t="n">
        <v>22</v>
      </c>
    </row>
    <row r="241">
      <c r="A241" s="2" t="inlineStr">
        <is>
          <t>Farmer</t>
        </is>
      </c>
      <c r="B241" s="2" t="n">
        <v>60</v>
      </c>
      <c r="C241" s="2" t="n">
        <v>3604</v>
      </c>
      <c r="D241" s="2" t="n">
        <v>64</v>
      </c>
      <c r="E241" s="2" t="n">
        <v>183400</v>
      </c>
      <c r="F241" s="2" t="n">
        <v>50</v>
      </c>
      <c r="G241" s="2" t="n">
        <v>36600</v>
      </c>
      <c r="H241" s="2" t="n">
        <v>7000</v>
      </c>
      <c r="I241" s="2" t="n">
        <v>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Rythme de Vellum sur 60 jours (simulateur, configs réelles)</t>
        </is>
      </c>
    </row>
    <row r="2">
      <c r="A2" s="4" t="inlineStr">
        <is>
          <t>Chaque chiffre est une formule sur l'onglet Données ; « — » : pas atteint en 60 jours.</t>
        </is>
      </c>
    </row>
    <row r="4" ht="32" customHeight="1">
      <c r="A4" s="1" t="inlineStr">
        <is>
          <t>Profil</t>
        </is>
      </c>
      <c r="B4" s="1" t="inlineStr">
        <is>
          <t>Id</t>
        </is>
      </c>
      <c r="C4" s="1" t="inlineStr">
        <is>
          <t>Pass fini (jour)</t>
        </is>
      </c>
      <c r="D4" s="1" t="inlineStr">
        <is>
          <t>Niveau 5 (jour)</t>
        </is>
      </c>
      <c r="E4" s="1" t="inlineStr">
        <is>
          <t>Niveau 10 (jour)</t>
        </is>
      </c>
      <c r="F4" s="1" t="inlineStr">
        <is>
          <t>Niveau 20 (jour)</t>
        </is>
      </c>
      <c r="G4" s="1" t="inlineStr">
        <is>
          <t>Niveau 40 (jour)</t>
        </is>
      </c>
      <c r="H4" s="1" t="inlineStr">
        <is>
          <t>Folios gagnés J7</t>
        </is>
      </c>
      <c r="I4" s="1" t="inlineStr">
        <is>
          <t>Folios gagnés J30</t>
        </is>
      </c>
      <c r="J4" s="1" t="inlineStr">
        <is>
          <t>Niveau J60</t>
        </is>
      </c>
      <c r="K4" s="1" t="inlineStr">
        <is>
          <t>Palier J60</t>
        </is>
      </c>
      <c r="L4" s="1" t="inlineStr">
        <is>
          <t>Objets J60</t>
        </is>
      </c>
      <c r="M4" s="1" t="inlineStr">
        <is>
          <t>Minutes J60</t>
        </is>
      </c>
    </row>
    <row r="5">
      <c r="A5" s="5" t="inlineStr">
        <is>
          <t>20 min/j seul</t>
        </is>
      </c>
      <c r="B5" s="2" t="inlineStr">
        <is>
          <t>Solo20</t>
        </is>
      </c>
      <c r="C5" s="6">
        <f>IF(COUNTIFS('Données'!$A$2:$A$241,$B5,'Données'!$F$2:$F$241,"&lt;50")=COUNTIFS('Données'!$A$2:$A$241,$B5),"—",COUNTIFS('Données'!$A$2:$A$241,$B5,'Données'!$F$2:$F$241,"&lt;50")+1)</f>
        <v/>
      </c>
      <c r="D5" s="6">
        <f>IF(COUNTIFS('Données'!$A$2:$A$241,$B5,'Données'!$D$2:$D$241,"&lt;5")=COUNTIFS('Données'!$A$2:$A$241,$B5),"—",COUNTIFS('Données'!$A$2:$A$241,$B5,'Données'!$D$2:$D$241,"&lt;5")+1)</f>
        <v/>
      </c>
      <c r="E5" s="6">
        <f>IF(COUNTIFS('Données'!$A$2:$A$241,$B5,'Données'!$D$2:$D$241,"&lt;10")=COUNTIFS('Données'!$A$2:$A$241,$B5),"—",COUNTIFS('Données'!$A$2:$A$241,$B5,'Données'!$D$2:$D$241,"&lt;10")+1)</f>
        <v/>
      </c>
      <c r="F5" s="6">
        <f>IF(COUNTIFS('Données'!$A$2:$A$241,$B5,'Données'!$D$2:$D$241,"&lt;20")=COUNTIFS('Données'!$A$2:$A$241,$B5),"—",COUNTIFS('Données'!$A$2:$A$241,$B5,'Données'!$D$2:$D$241,"&lt;20")+1)</f>
        <v/>
      </c>
      <c r="G5" s="6">
        <f>IF(COUNTIFS('Données'!$A$2:$A$241,$B5,'Données'!$D$2:$D$241,"&lt;40")=COUNTIFS('Données'!$A$2:$A$241,$B5),"—",COUNTIFS('Données'!$A$2:$A$241,$B5,'Données'!$D$2:$D$241,"&lt;40")+1)</f>
        <v/>
      </c>
      <c r="H5" s="6">
        <f>SUMIFS('Données'!$G$2:$G$241,'Données'!$A$2:$A$241,$B5,'Données'!$B$2:$B$241,7)</f>
        <v/>
      </c>
      <c r="I5" s="6">
        <f>SUMIFS('Données'!$G$2:$G$241,'Données'!$A$2:$A$241,$B5,'Données'!$B$2:$B$241,30)</f>
        <v/>
      </c>
      <c r="J5" s="6">
        <f>SUMIFS('Données'!$D$2:$D$241,'Données'!$A$2:$A$241,$B5,'Données'!$B$2:$B$241,60)</f>
        <v/>
      </c>
      <c r="K5" s="6">
        <f>SUMIFS('Données'!$F$2:$F$241,'Données'!$A$2:$A$241,$B5,'Données'!$B$2:$B$241,60)</f>
        <v/>
      </c>
      <c r="L5" s="6">
        <f>SUMIFS('Données'!$I$2:$I$241,'Données'!$A$2:$A$241,$B5,'Données'!$B$2:$B$241,60)</f>
        <v/>
      </c>
      <c r="M5" s="6">
        <f>SUMIFS('Données'!$C$2:$C$241,'Données'!$A$2:$A$241,$B5,'Données'!$B$2:$B$241,60)</f>
        <v/>
      </c>
    </row>
    <row r="6">
      <c r="A6" s="5" t="inlineStr">
        <is>
          <t>20 min/j en PvP</t>
        </is>
      </c>
      <c r="B6" s="2" t="inlineStr">
        <is>
          <t>Pvp20</t>
        </is>
      </c>
      <c r="C6" s="6">
        <f>IF(COUNTIFS('Données'!$A$2:$A$241,$B6,'Données'!$F$2:$F$241,"&lt;50")=COUNTIFS('Données'!$A$2:$A$241,$B6),"—",COUNTIFS('Données'!$A$2:$A$241,$B6,'Données'!$F$2:$F$241,"&lt;50")+1)</f>
        <v/>
      </c>
      <c r="D6" s="6">
        <f>IF(COUNTIFS('Données'!$A$2:$A$241,$B6,'Données'!$D$2:$D$241,"&lt;5")=COUNTIFS('Données'!$A$2:$A$241,$B6),"—",COUNTIFS('Données'!$A$2:$A$241,$B6,'Données'!$D$2:$D$241,"&lt;5")+1)</f>
        <v/>
      </c>
      <c r="E6" s="6">
        <f>IF(COUNTIFS('Données'!$A$2:$A$241,$B6,'Données'!$D$2:$D$241,"&lt;10")=COUNTIFS('Données'!$A$2:$A$241,$B6),"—",COUNTIFS('Données'!$A$2:$A$241,$B6,'Données'!$D$2:$D$241,"&lt;10")+1)</f>
        <v/>
      </c>
      <c r="F6" s="6">
        <f>IF(COUNTIFS('Données'!$A$2:$A$241,$B6,'Données'!$D$2:$D$241,"&lt;20")=COUNTIFS('Données'!$A$2:$A$241,$B6),"—",COUNTIFS('Données'!$A$2:$A$241,$B6,'Données'!$D$2:$D$241,"&lt;20")+1)</f>
        <v/>
      </c>
      <c r="G6" s="6">
        <f>IF(COUNTIFS('Données'!$A$2:$A$241,$B6,'Données'!$D$2:$D$241,"&lt;40")=COUNTIFS('Données'!$A$2:$A$241,$B6),"—",COUNTIFS('Données'!$A$2:$A$241,$B6,'Données'!$D$2:$D$241,"&lt;40")+1)</f>
        <v/>
      </c>
      <c r="H6" s="6">
        <f>SUMIFS('Données'!$G$2:$G$241,'Données'!$A$2:$A$241,$B6,'Données'!$B$2:$B$241,7)</f>
        <v/>
      </c>
      <c r="I6" s="6">
        <f>SUMIFS('Données'!$G$2:$G$241,'Données'!$A$2:$A$241,$B6,'Données'!$B$2:$B$241,30)</f>
        <v/>
      </c>
      <c r="J6" s="6">
        <f>SUMIFS('Données'!$D$2:$D$241,'Données'!$A$2:$A$241,$B6,'Données'!$B$2:$B$241,60)</f>
        <v/>
      </c>
      <c r="K6" s="6">
        <f>SUMIFS('Données'!$F$2:$F$241,'Données'!$A$2:$A$241,$B6,'Données'!$B$2:$B$241,60)</f>
        <v/>
      </c>
      <c r="L6" s="6">
        <f>SUMIFS('Données'!$I$2:$I$241,'Données'!$A$2:$A$241,$B6,'Données'!$B$2:$B$241,60)</f>
        <v/>
      </c>
      <c r="M6" s="6">
        <f>SUMIFS('Données'!$C$2:$C$241,'Données'!$A$2:$A$241,$B6,'Données'!$B$2:$B$241,60)</f>
        <v/>
      </c>
    </row>
    <row r="7">
      <c r="A7" s="5" t="inlineStr">
        <is>
          <t>60 min/j en PvP</t>
        </is>
      </c>
      <c r="B7" s="2" t="inlineStr">
        <is>
          <t>Pvp60</t>
        </is>
      </c>
      <c r="C7" s="6">
        <f>IF(COUNTIFS('Données'!$A$2:$A$241,$B7,'Données'!$F$2:$F$241,"&lt;50")=COUNTIFS('Données'!$A$2:$A$241,$B7),"—",COUNTIFS('Données'!$A$2:$A$241,$B7,'Données'!$F$2:$F$241,"&lt;50")+1)</f>
        <v/>
      </c>
      <c r="D7" s="6">
        <f>IF(COUNTIFS('Données'!$A$2:$A$241,$B7,'Données'!$D$2:$D$241,"&lt;5")=COUNTIFS('Données'!$A$2:$A$241,$B7),"—",COUNTIFS('Données'!$A$2:$A$241,$B7,'Données'!$D$2:$D$241,"&lt;5")+1)</f>
        <v/>
      </c>
      <c r="E7" s="6">
        <f>IF(COUNTIFS('Données'!$A$2:$A$241,$B7,'Données'!$D$2:$D$241,"&lt;10")=COUNTIFS('Données'!$A$2:$A$241,$B7),"—",COUNTIFS('Données'!$A$2:$A$241,$B7,'Données'!$D$2:$D$241,"&lt;10")+1)</f>
        <v/>
      </c>
      <c r="F7" s="6">
        <f>IF(COUNTIFS('Données'!$A$2:$A$241,$B7,'Données'!$D$2:$D$241,"&lt;20")=COUNTIFS('Données'!$A$2:$A$241,$B7),"—",COUNTIFS('Données'!$A$2:$A$241,$B7,'Données'!$D$2:$D$241,"&lt;20")+1)</f>
        <v/>
      </c>
      <c r="G7" s="6">
        <f>IF(COUNTIFS('Données'!$A$2:$A$241,$B7,'Données'!$D$2:$D$241,"&lt;40")=COUNTIFS('Données'!$A$2:$A$241,$B7),"—",COUNTIFS('Données'!$A$2:$A$241,$B7,'Données'!$D$2:$D$241,"&lt;40")+1)</f>
        <v/>
      </c>
      <c r="H7" s="6">
        <f>SUMIFS('Données'!$G$2:$G$241,'Données'!$A$2:$A$241,$B7,'Données'!$B$2:$B$241,7)</f>
        <v/>
      </c>
      <c r="I7" s="6">
        <f>SUMIFS('Données'!$G$2:$G$241,'Données'!$A$2:$A$241,$B7,'Données'!$B$2:$B$241,30)</f>
        <v/>
      </c>
      <c r="J7" s="6">
        <f>SUMIFS('Données'!$D$2:$D$241,'Données'!$A$2:$A$241,$B7,'Données'!$B$2:$B$241,60)</f>
        <v/>
      </c>
      <c r="K7" s="6">
        <f>SUMIFS('Données'!$F$2:$F$241,'Données'!$A$2:$A$241,$B7,'Données'!$B$2:$B$241,60)</f>
        <v/>
      </c>
      <c r="L7" s="6">
        <f>SUMIFS('Données'!$I$2:$I$241,'Données'!$A$2:$A$241,$B7,'Données'!$B$2:$B$241,60)</f>
        <v/>
      </c>
      <c r="M7" s="6">
        <f>SUMIFS('Données'!$C$2:$C$241,'Données'!$A$2:$A$241,$B7,'Données'!$B$2:$B$241,60)</f>
        <v/>
      </c>
    </row>
    <row r="8">
      <c r="A8" s="5" t="inlineStr">
        <is>
          <t>Fermier d'Épreuves</t>
        </is>
      </c>
      <c r="B8" s="2" t="inlineStr">
        <is>
          <t>Farmer</t>
        </is>
      </c>
      <c r="C8" s="6">
        <f>IF(COUNTIFS('Données'!$A$2:$A$241,$B8,'Données'!$F$2:$F$241,"&lt;50")=COUNTIFS('Données'!$A$2:$A$241,$B8),"—",COUNTIFS('Données'!$A$2:$A$241,$B8,'Données'!$F$2:$F$241,"&lt;50")+1)</f>
        <v/>
      </c>
      <c r="D8" s="6">
        <f>IF(COUNTIFS('Données'!$A$2:$A$241,$B8,'Données'!$D$2:$D$241,"&lt;5")=COUNTIFS('Données'!$A$2:$A$241,$B8),"—",COUNTIFS('Données'!$A$2:$A$241,$B8,'Données'!$D$2:$D$241,"&lt;5")+1)</f>
        <v/>
      </c>
      <c r="E8" s="6">
        <f>IF(COUNTIFS('Données'!$A$2:$A$241,$B8,'Données'!$D$2:$D$241,"&lt;10")=COUNTIFS('Données'!$A$2:$A$241,$B8),"—",COUNTIFS('Données'!$A$2:$A$241,$B8,'Données'!$D$2:$D$241,"&lt;10")+1)</f>
        <v/>
      </c>
      <c r="F8" s="6">
        <f>IF(COUNTIFS('Données'!$A$2:$A$241,$B8,'Données'!$D$2:$D$241,"&lt;20")=COUNTIFS('Données'!$A$2:$A$241,$B8),"—",COUNTIFS('Données'!$A$2:$A$241,$B8,'Données'!$D$2:$D$241,"&lt;20")+1)</f>
        <v/>
      </c>
      <c r="G8" s="6">
        <f>IF(COUNTIFS('Données'!$A$2:$A$241,$B8,'Données'!$D$2:$D$241,"&lt;40")=COUNTIFS('Données'!$A$2:$A$241,$B8),"—",COUNTIFS('Données'!$A$2:$A$241,$B8,'Données'!$D$2:$D$241,"&lt;40")+1)</f>
        <v/>
      </c>
      <c r="H8" s="6">
        <f>SUMIFS('Données'!$G$2:$G$241,'Données'!$A$2:$A$241,$B8,'Données'!$B$2:$B$241,7)</f>
        <v/>
      </c>
      <c r="I8" s="6">
        <f>SUMIFS('Données'!$G$2:$G$241,'Données'!$A$2:$A$241,$B8,'Données'!$B$2:$B$241,30)</f>
        <v/>
      </c>
      <c r="J8" s="6">
        <f>SUMIFS('Données'!$D$2:$D$241,'Données'!$A$2:$A$241,$B8,'Données'!$B$2:$B$241,60)</f>
        <v/>
      </c>
      <c r="K8" s="6">
        <f>SUMIFS('Données'!$F$2:$F$241,'Données'!$A$2:$A$241,$B8,'Données'!$B$2:$B$241,60)</f>
        <v/>
      </c>
      <c r="L8" s="6">
        <f>SUMIFS('Données'!$I$2:$I$241,'Données'!$A$2:$A$241,$B8,'Données'!$B$2:$B$241,60)</f>
        <v/>
      </c>
      <c r="M8" s="6">
        <f>SUMIFS('Données'!$C$2:$C$241,'Données'!$A$2:$A$241,$B8,'Données'!$B$2:$B$241,60)</f>
        <v/>
      </c>
    </row>
    <row r="11">
      <c r="A11" s="4" t="inlineStr">
        <is>
          <t>Les minutes jusqu'aux niveaux 5/10/20/40, l'XP/h par activité et le détail des hypothèses de jeu sont</t>
        </is>
      </c>
    </row>
    <row r="12">
      <c r="A12" s="4" t="inlineStr">
        <is>
          <t>dans docs/ECONOMY.md §2 bis (sortie de lune run scripts/pacing -- --table).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Jour</t>
        </is>
      </c>
      <c r="B1" s="1" t="inlineStr">
        <is>
          <t>20 min/j seul</t>
        </is>
      </c>
      <c r="C1" s="1" t="inlineStr">
        <is>
          <t>20 min/j en PvP</t>
        </is>
      </c>
      <c r="D1" s="1" t="inlineStr">
        <is>
          <t>60 min/j en PvP</t>
        </is>
      </c>
      <c r="E1" s="1" t="inlineStr">
        <is>
          <t>Fermier d'Épreuves</t>
        </is>
      </c>
    </row>
    <row r="2">
      <c r="A2" s="5">
        <f>ROW()-1</f>
        <v/>
      </c>
      <c r="B2" s="5">
        <f>SUMIFS('Données'!$F$2:$F$241,'Données'!$A$2:$A$241,"Solo20",'Données'!$B$2:$B$241,$A2)</f>
        <v/>
      </c>
      <c r="C2" s="5">
        <f>SUMIFS('Données'!$F$2:$F$241,'Données'!$A$2:$A$241,"Pvp20",'Données'!$B$2:$B$241,$A2)</f>
        <v/>
      </c>
      <c r="D2" s="5">
        <f>SUMIFS('Données'!$F$2:$F$241,'Données'!$A$2:$A$241,"Pvp60",'Données'!$B$2:$B$241,$A2)</f>
        <v/>
      </c>
      <c r="E2" s="5">
        <f>SUMIFS('Données'!$F$2:$F$241,'Données'!$A$2:$A$241,"Farmer",'Données'!$B$2:$B$241,$A2)</f>
        <v/>
      </c>
    </row>
    <row r="3">
      <c r="A3" s="5">
        <f>ROW()-1</f>
        <v/>
      </c>
      <c r="B3" s="5">
        <f>SUMIFS('Données'!$F$2:$F$241,'Données'!$A$2:$A$241,"Solo20",'Données'!$B$2:$B$241,$A3)</f>
        <v/>
      </c>
      <c r="C3" s="5">
        <f>SUMIFS('Données'!$F$2:$F$241,'Données'!$A$2:$A$241,"Pvp20",'Données'!$B$2:$B$241,$A3)</f>
        <v/>
      </c>
      <c r="D3" s="5">
        <f>SUMIFS('Données'!$F$2:$F$241,'Données'!$A$2:$A$241,"Pvp60",'Données'!$B$2:$B$241,$A3)</f>
        <v/>
      </c>
      <c r="E3" s="5">
        <f>SUMIFS('Données'!$F$2:$F$241,'Données'!$A$2:$A$241,"Farmer",'Données'!$B$2:$B$241,$A3)</f>
        <v/>
      </c>
    </row>
    <row r="4">
      <c r="A4" s="5">
        <f>ROW()-1</f>
        <v/>
      </c>
      <c r="B4" s="5">
        <f>SUMIFS('Données'!$F$2:$F$241,'Données'!$A$2:$A$241,"Solo20",'Données'!$B$2:$B$241,$A4)</f>
        <v/>
      </c>
      <c r="C4" s="5">
        <f>SUMIFS('Données'!$F$2:$F$241,'Données'!$A$2:$A$241,"Pvp20",'Données'!$B$2:$B$241,$A4)</f>
        <v/>
      </c>
      <c r="D4" s="5">
        <f>SUMIFS('Données'!$F$2:$F$241,'Données'!$A$2:$A$241,"Pvp60",'Données'!$B$2:$B$241,$A4)</f>
        <v/>
      </c>
      <c r="E4" s="5">
        <f>SUMIFS('Données'!$F$2:$F$241,'Données'!$A$2:$A$241,"Farmer",'Données'!$B$2:$B$241,$A4)</f>
        <v/>
      </c>
    </row>
    <row r="5">
      <c r="A5" s="5">
        <f>ROW()-1</f>
        <v/>
      </c>
      <c r="B5" s="5">
        <f>SUMIFS('Données'!$F$2:$F$241,'Données'!$A$2:$A$241,"Solo20",'Données'!$B$2:$B$241,$A5)</f>
        <v/>
      </c>
      <c r="C5" s="5">
        <f>SUMIFS('Données'!$F$2:$F$241,'Données'!$A$2:$A$241,"Pvp20",'Données'!$B$2:$B$241,$A5)</f>
        <v/>
      </c>
      <c r="D5" s="5">
        <f>SUMIFS('Données'!$F$2:$F$241,'Données'!$A$2:$A$241,"Pvp60",'Données'!$B$2:$B$241,$A5)</f>
        <v/>
      </c>
      <c r="E5" s="5">
        <f>SUMIFS('Données'!$F$2:$F$241,'Données'!$A$2:$A$241,"Farmer",'Données'!$B$2:$B$241,$A5)</f>
        <v/>
      </c>
    </row>
    <row r="6">
      <c r="A6" s="5">
        <f>ROW()-1</f>
        <v/>
      </c>
      <c r="B6" s="5">
        <f>SUMIFS('Données'!$F$2:$F$241,'Données'!$A$2:$A$241,"Solo20",'Données'!$B$2:$B$241,$A6)</f>
        <v/>
      </c>
      <c r="C6" s="5">
        <f>SUMIFS('Données'!$F$2:$F$241,'Données'!$A$2:$A$241,"Pvp20",'Données'!$B$2:$B$241,$A6)</f>
        <v/>
      </c>
      <c r="D6" s="5">
        <f>SUMIFS('Données'!$F$2:$F$241,'Données'!$A$2:$A$241,"Pvp60",'Données'!$B$2:$B$241,$A6)</f>
        <v/>
      </c>
      <c r="E6" s="5">
        <f>SUMIFS('Données'!$F$2:$F$241,'Données'!$A$2:$A$241,"Farmer",'Données'!$B$2:$B$241,$A6)</f>
        <v/>
      </c>
    </row>
    <row r="7">
      <c r="A7" s="5">
        <f>ROW()-1</f>
        <v/>
      </c>
      <c r="B7" s="5">
        <f>SUMIFS('Données'!$F$2:$F$241,'Données'!$A$2:$A$241,"Solo20",'Données'!$B$2:$B$241,$A7)</f>
        <v/>
      </c>
      <c r="C7" s="5">
        <f>SUMIFS('Données'!$F$2:$F$241,'Données'!$A$2:$A$241,"Pvp20",'Données'!$B$2:$B$241,$A7)</f>
        <v/>
      </c>
      <c r="D7" s="5">
        <f>SUMIFS('Données'!$F$2:$F$241,'Données'!$A$2:$A$241,"Pvp60",'Données'!$B$2:$B$241,$A7)</f>
        <v/>
      </c>
      <c r="E7" s="5">
        <f>SUMIFS('Données'!$F$2:$F$241,'Données'!$A$2:$A$241,"Farmer",'Données'!$B$2:$B$241,$A7)</f>
        <v/>
      </c>
    </row>
    <row r="8">
      <c r="A8" s="5">
        <f>ROW()-1</f>
        <v/>
      </c>
      <c r="B8" s="5">
        <f>SUMIFS('Données'!$F$2:$F$241,'Données'!$A$2:$A$241,"Solo20",'Données'!$B$2:$B$241,$A8)</f>
        <v/>
      </c>
      <c r="C8" s="5">
        <f>SUMIFS('Données'!$F$2:$F$241,'Données'!$A$2:$A$241,"Pvp20",'Données'!$B$2:$B$241,$A8)</f>
        <v/>
      </c>
      <c r="D8" s="5">
        <f>SUMIFS('Données'!$F$2:$F$241,'Données'!$A$2:$A$241,"Pvp60",'Données'!$B$2:$B$241,$A8)</f>
        <v/>
      </c>
      <c r="E8" s="5">
        <f>SUMIFS('Données'!$F$2:$F$241,'Données'!$A$2:$A$241,"Farmer",'Données'!$B$2:$B$241,$A8)</f>
        <v/>
      </c>
    </row>
    <row r="9">
      <c r="A9" s="5">
        <f>ROW()-1</f>
        <v/>
      </c>
      <c r="B9" s="5">
        <f>SUMIFS('Données'!$F$2:$F$241,'Données'!$A$2:$A$241,"Solo20",'Données'!$B$2:$B$241,$A9)</f>
        <v/>
      </c>
      <c r="C9" s="5">
        <f>SUMIFS('Données'!$F$2:$F$241,'Données'!$A$2:$A$241,"Pvp20",'Données'!$B$2:$B$241,$A9)</f>
        <v/>
      </c>
      <c r="D9" s="5">
        <f>SUMIFS('Données'!$F$2:$F$241,'Données'!$A$2:$A$241,"Pvp60",'Données'!$B$2:$B$241,$A9)</f>
        <v/>
      </c>
      <c r="E9" s="5">
        <f>SUMIFS('Données'!$F$2:$F$241,'Données'!$A$2:$A$241,"Farmer",'Données'!$B$2:$B$241,$A9)</f>
        <v/>
      </c>
    </row>
    <row r="10">
      <c r="A10" s="5">
        <f>ROW()-1</f>
        <v/>
      </c>
      <c r="B10" s="5">
        <f>SUMIFS('Données'!$F$2:$F$241,'Données'!$A$2:$A$241,"Solo20",'Données'!$B$2:$B$241,$A10)</f>
        <v/>
      </c>
      <c r="C10" s="5">
        <f>SUMIFS('Données'!$F$2:$F$241,'Données'!$A$2:$A$241,"Pvp20",'Données'!$B$2:$B$241,$A10)</f>
        <v/>
      </c>
      <c r="D10" s="5">
        <f>SUMIFS('Données'!$F$2:$F$241,'Données'!$A$2:$A$241,"Pvp60",'Données'!$B$2:$B$241,$A10)</f>
        <v/>
      </c>
      <c r="E10" s="5">
        <f>SUMIFS('Données'!$F$2:$F$241,'Données'!$A$2:$A$241,"Farmer",'Données'!$B$2:$B$241,$A10)</f>
        <v/>
      </c>
    </row>
    <row r="11">
      <c r="A11" s="5">
        <f>ROW()-1</f>
        <v/>
      </c>
      <c r="B11" s="5">
        <f>SUMIFS('Données'!$F$2:$F$241,'Données'!$A$2:$A$241,"Solo20",'Données'!$B$2:$B$241,$A11)</f>
        <v/>
      </c>
      <c r="C11" s="5">
        <f>SUMIFS('Données'!$F$2:$F$241,'Données'!$A$2:$A$241,"Pvp20",'Données'!$B$2:$B$241,$A11)</f>
        <v/>
      </c>
      <c r="D11" s="5">
        <f>SUMIFS('Données'!$F$2:$F$241,'Données'!$A$2:$A$241,"Pvp60",'Données'!$B$2:$B$241,$A11)</f>
        <v/>
      </c>
      <c r="E11" s="5">
        <f>SUMIFS('Données'!$F$2:$F$241,'Données'!$A$2:$A$241,"Farmer",'Données'!$B$2:$B$241,$A11)</f>
        <v/>
      </c>
    </row>
    <row r="12">
      <c r="A12" s="5">
        <f>ROW()-1</f>
        <v/>
      </c>
      <c r="B12" s="5">
        <f>SUMIFS('Données'!$F$2:$F$241,'Données'!$A$2:$A$241,"Solo20",'Données'!$B$2:$B$241,$A12)</f>
        <v/>
      </c>
      <c r="C12" s="5">
        <f>SUMIFS('Données'!$F$2:$F$241,'Données'!$A$2:$A$241,"Pvp20",'Données'!$B$2:$B$241,$A12)</f>
        <v/>
      </c>
      <c r="D12" s="5">
        <f>SUMIFS('Données'!$F$2:$F$241,'Données'!$A$2:$A$241,"Pvp60",'Données'!$B$2:$B$241,$A12)</f>
        <v/>
      </c>
      <c r="E12" s="5">
        <f>SUMIFS('Données'!$F$2:$F$241,'Données'!$A$2:$A$241,"Farmer",'Données'!$B$2:$B$241,$A12)</f>
        <v/>
      </c>
    </row>
    <row r="13">
      <c r="A13" s="5">
        <f>ROW()-1</f>
        <v/>
      </c>
      <c r="B13" s="5">
        <f>SUMIFS('Données'!$F$2:$F$241,'Données'!$A$2:$A$241,"Solo20",'Données'!$B$2:$B$241,$A13)</f>
        <v/>
      </c>
      <c r="C13" s="5">
        <f>SUMIFS('Données'!$F$2:$F$241,'Données'!$A$2:$A$241,"Pvp20",'Données'!$B$2:$B$241,$A13)</f>
        <v/>
      </c>
      <c r="D13" s="5">
        <f>SUMIFS('Données'!$F$2:$F$241,'Données'!$A$2:$A$241,"Pvp60",'Données'!$B$2:$B$241,$A13)</f>
        <v/>
      </c>
      <c r="E13" s="5">
        <f>SUMIFS('Données'!$F$2:$F$241,'Données'!$A$2:$A$241,"Farmer",'Données'!$B$2:$B$241,$A13)</f>
        <v/>
      </c>
    </row>
    <row r="14">
      <c r="A14" s="5">
        <f>ROW()-1</f>
        <v/>
      </c>
      <c r="B14" s="5">
        <f>SUMIFS('Données'!$F$2:$F$241,'Données'!$A$2:$A$241,"Solo20",'Données'!$B$2:$B$241,$A14)</f>
        <v/>
      </c>
      <c r="C14" s="5">
        <f>SUMIFS('Données'!$F$2:$F$241,'Données'!$A$2:$A$241,"Pvp20",'Données'!$B$2:$B$241,$A14)</f>
        <v/>
      </c>
      <c r="D14" s="5">
        <f>SUMIFS('Données'!$F$2:$F$241,'Données'!$A$2:$A$241,"Pvp60",'Données'!$B$2:$B$241,$A14)</f>
        <v/>
      </c>
      <c r="E14" s="5">
        <f>SUMIFS('Données'!$F$2:$F$241,'Données'!$A$2:$A$241,"Farmer",'Données'!$B$2:$B$241,$A14)</f>
        <v/>
      </c>
    </row>
    <row r="15">
      <c r="A15" s="5">
        <f>ROW()-1</f>
        <v/>
      </c>
      <c r="B15" s="5">
        <f>SUMIFS('Données'!$F$2:$F$241,'Données'!$A$2:$A$241,"Solo20",'Données'!$B$2:$B$241,$A15)</f>
        <v/>
      </c>
      <c r="C15" s="5">
        <f>SUMIFS('Données'!$F$2:$F$241,'Données'!$A$2:$A$241,"Pvp20",'Données'!$B$2:$B$241,$A15)</f>
        <v/>
      </c>
      <c r="D15" s="5">
        <f>SUMIFS('Données'!$F$2:$F$241,'Données'!$A$2:$A$241,"Pvp60",'Données'!$B$2:$B$241,$A15)</f>
        <v/>
      </c>
      <c r="E15" s="5">
        <f>SUMIFS('Données'!$F$2:$F$241,'Données'!$A$2:$A$241,"Farmer",'Données'!$B$2:$B$241,$A15)</f>
        <v/>
      </c>
    </row>
    <row r="16">
      <c r="A16" s="5">
        <f>ROW()-1</f>
        <v/>
      </c>
      <c r="B16" s="5">
        <f>SUMIFS('Données'!$F$2:$F$241,'Données'!$A$2:$A$241,"Solo20",'Données'!$B$2:$B$241,$A16)</f>
        <v/>
      </c>
      <c r="C16" s="5">
        <f>SUMIFS('Données'!$F$2:$F$241,'Données'!$A$2:$A$241,"Pvp20",'Données'!$B$2:$B$241,$A16)</f>
        <v/>
      </c>
      <c r="D16" s="5">
        <f>SUMIFS('Données'!$F$2:$F$241,'Données'!$A$2:$A$241,"Pvp60",'Données'!$B$2:$B$241,$A16)</f>
        <v/>
      </c>
      <c r="E16" s="5">
        <f>SUMIFS('Données'!$F$2:$F$241,'Données'!$A$2:$A$241,"Farmer",'Données'!$B$2:$B$241,$A16)</f>
        <v/>
      </c>
    </row>
    <row r="17">
      <c r="A17" s="5">
        <f>ROW()-1</f>
        <v/>
      </c>
      <c r="B17" s="5">
        <f>SUMIFS('Données'!$F$2:$F$241,'Données'!$A$2:$A$241,"Solo20",'Données'!$B$2:$B$241,$A17)</f>
        <v/>
      </c>
      <c r="C17" s="5">
        <f>SUMIFS('Données'!$F$2:$F$241,'Données'!$A$2:$A$241,"Pvp20",'Données'!$B$2:$B$241,$A17)</f>
        <v/>
      </c>
      <c r="D17" s="5">
        <f>SUMIFS('Données'!$F$2:$F$241,'Données'!$A$2:$A$241,"Pvp60",'Données'!$B$2:$B$241,$A17)</f>
        <v/>
      </c>
      <c r="E17" s="5">
        <f>SUMIFS('Données'!$F$2:$F$241,'Données'!$A$2:$A$241,"Farmer",'Données'!$B$2:$B$241,$A17)</f>
        <v/>
      </c>
    </row>
    <row r="18">
      <c r="A18" s="5">
        <f>ROW()-1</f>
        <v/>
      </c>
      <c r="B18" s="5">
        <f>SUMIFS('Données'!$F$2:$F$241,'Données'!$A$2:$A$241,"Solo20",'Données'!$B$2:$B$241,$A18)</f>
        <v/>
      </c>
      <c r="C18" s="5">
        <f>SUMIFS('Données'!$F$2:$F$241,'Données'!$A$2:$A$241,"Pvp20",'Données'!$B$2:$B$241,$A18)</f>
        <v/>
      </c>
      <c r="D18" s="5">
        <f>SUMIFS('Données'!$F$2:$F$241,'Données'!$A$2:$A$241,"Pvp60",'Données'!$B$2:$B$241,$A18)</f>
        <v/>
      </c>
      <c r="E18" s="5">
        <f>SUMIFS('Données'!$F$2:$F$241,'Données'!$A$2:$A$241,"Farmer",'Données'!$B$2:$B$241,$A18)</f>
        <v/>
      </c>
    </row>
    <row r="19">
      <c r="A19" s="5">
        <f>ROW()-1</f>
        <v/>
      </c>
      <c r="B19" s="5">
        <f>SUMIFS('Données'!$F$2:$F$241,'Données'!$A$2:$A$241,"Solo20",'Données'!$B$2:$B$241,$A19)</f>
        <v/>
      </c>
      <c r="C19" s="5">
        <f>SUMIFS('Données'!$F$2:$F$241,'Données'!$A$2:$A$241,"Pvp20",'Données'!$B$2:$B$241,$A19)</f>
        <v/>
      </c>
      <c r="D19" s="5">
        <f>SUMIFS('Données'!$F$2:$F$241,'Données'!$A$2:$A$241,"Pvp60",'Données'!$B$2:$B$241,$A19)</f>
        <v/>
      </c>
      <c r="E19" s="5">
        <f>SUMIFS('Données'!$F$2:$F$241,'Données'!$A$2:$A$241,"Farmer",'Données'!$B$2:$B$241,$A19)</f>
        <v/>
      </c>
    </row>
    <row r="20">
      <c r="A20" s="5">
        <f>ROW()-1</f>
        <v/>
      </c>
      <c r="B20" s="5">
        <f>SUMIFS('Données'!$F$2:$F$241,'Données'!$A$2:$A$241,"Solo20",'Données'!$B$2:$B$241,$A20)</f>
        <v/>
      </c>
      <c r="C20" s="5">
        <f>SUMIFS('Données'!$F$2:$F$241,'Données'!$A$2:$A$241,"Pvp20",'Données'!$B$2:$B$241,$A20)</f>
        <v/>
      </c>
      <c r="D20" s="5">
        <f>SUMIFS('Données'!$F$2:$F$241,'Données'!$A$2:$A$241,"Pvp60",'Données'!$B$2:$B$241,$A20)</f>
        <v/>
      </c>
      <c r="E20" s="5">
        <f>SUMIFS('Données'!$F$2:$F$241,'Données'!$A$2:$A$241,"Farmer",'Données'!$B$2:$B$241,$A20)</f>
        <v/>
      </c>
    </row>
    <row r="21">
      <c r="A21" s="5">
        <f>ROW()-1</f>
        <v/>
      </c>
      <c r="B21" s="5">
        <f>SUMIFS('Données'!$F$2:$F$241,'Données'!$A$2:$A$241,"Solo20",'Données'!$B$2:$B$241,$A21)</f>
        <v/>
      </c>
      <c r="C21" s="5">
        <f>SUMIFS('Données'!$F$2:$F$241,'Données'!$A$2:$A$241,"Pvp20",'Données'!$B$2:$B$241,$A21)</f>
        <v/>
      </c>
      <c r="D21" s="5">
        <f>SUMIFS('Données'!$F$2:$F$241,'Données'!$A$2:$A$241,"Pvp60",'Données'!$B$2:$B$241,$A21)</f>
        <v/>
      </c>
      <c r="E21" s="5">
        <f>SUMIFS('Données'!$F$2:$F$241,'Données'!$A$2:$A$241,"Farmer",'Données'!$B$2:$B$241,$A21)</f>
        <v/>
      </c>
    </row>
    <row r="22">
      <c r="A22" s="5">
        <f>ROW()-1</f>
        <v/>
      </c>
      <c r="B22" s="5">
        <f>SUMIFS('Données'!$F$2:$F$241,'Données'!$A$2:$A$241,"Solo20",'Données'!$B$2:$B$241,$A22)</f>
        <v/>
      </c>
      <c r="C22" s="5">
        <f>SUMIFS('Données'!$F$2:$F$241,'Données'!$A$2:$A$241,"Pvp20",'Données'!$B$2:$B$241,$A22)</f>
        <v/>
      </c>
      <c r="D22" s="5">
        <f>SUMIFS('Données'!$F$2:$F$241,'Données'!$A$2:$A$241,"Pvp60",'Données'!$B$2:$B$241,$A22)</f>
        <v/>
      </c>
      <c r="E22" s="5">
        <f>SUMIFS('Données'!$F$2:$F$241,'Données'!$A$2:$A$241,"Farmer",'Données'!$B$2:$B$241,$A22)</f>
        <v/>
      </c>
    </row>
    <row r="23">
      <c r="A23" s="5">
        <f>ROW()-1</f>
        <v/>
      </c>
      <c r="B23" s="5">
        <f>SUMIFS('Données'!$F$2:$F$241,'Données'!$A$2:$A$241,"Solo20",'Données'!$B$2:$B$241,$A23)</f>
        <v/>
      </c>
      <c r="C23" s="5">
        <f>SUMIFS('Données'!$F$2:$F$241,'Données'!$A$2:$A$241,"Pvp20",'Données'!$B$2:$B$241,$A23)</f>
        <v/>
      </c>
      <c r="D23" s="5">
        <f>SUMIFS('Données'!$F$2:$F$241,'Données'!$A$2:$A$241,"Pvp60",'Données'!$B$2:$B$241,$A23)</f>
        <v/>
      </c>
      <c r="E23" s="5">
        <f>SUMIFS('Données'!$F$2:$F$241,'Données'!$A$2:$A$241,"Farmer",'Données'!$B$2:$B$241,$A23)</f>
        <v/>
      </c>
    </row>
    <row r="24">
      <c r="A24" s="5">
        <f>ROW()-1</f>
        <v/>
      </c>
      <c r="B24" s="5">
        <f>SUMIFS('Données'!$F$2:$F$241,'Données'!$A$2:$A$241,"Solo20",'Données'!$B$2:$B$241,$A24)</f>
        <v/>
      </c>
      <c r="C24" s="5">
        <f>SUMIFS('Données'!$F$2:$F$241,'Données'!$A$2:$A$241,"Pvp20",'Données'!$B$2:$B$241,$A24)</f>
        <v/>
      </c>
      <c r="D24" s="5">
        <f>SUMIFS('Données'!$F$2:$F$241,'Données'!$A$2:$A$241,"Pvp60",'Données'!$B$2:$B$241,$A24)</f>
        <v/>
      </c>
      <c r="E24" s="5">
        <f>SUMIFS('Données'!$F$2:$F$241,'Données'!$A$2:$A$241,"Farmer",'Données'!$B$2:$B$241,$A24)</f>
        <v/>
      </c>
    </row>
    <row r="25">
      <c r="A25" s="5">
        <f>ROW()-1</f>
        <v/>
      </c>
      <c r="B25" s="5">
        <f>SUMIFS('Données'!$F$2:$F$241,'Données'!$A$2:$A$241,"Solo20",'Données'!$B$2:$B$241,$A25)</f>
        <v/>
      </c>
      <c r="C25" s="5">
        <f>SUMIFS('Données'!$F$2:$F$241,'Données'!$A$2:$A$241,"Pvp20",'Données'!$B$2:$B$241,$A25)</f>
        <v/>
      </c>
      <c r="D25" s="5">
        <f>SUMIFS('Données'!$F$2:$F$241,'Données'!$A$2:$A$241,"Pvp60",'Données'!$B$2:$B$241,$A25)</f>
        <v/>
      </c>
      <c r="E25" s="5">
        <f>SUMIFS('Données'!$F$2:$F$241,'Données'!$A$2:$A$241,"Farmer",'Données'!$B$2:$B$241,$A25)</f>
        <v/>
      </c>
    </row>
    <row r="26">
      <c r="A26" s="5">
        <f>ROW()-1</f>
        <v/>
      </c>
      <c r="B26" s="5">
        <f>SUMIFS('Données'!$F$2:$F$241,'Données'!$A$2:$A$241,"Solo20",'Données'!$B$2:$B$241,$A26)</f>
        <v/>
      </c>
      <c r="C26" s="5">
        <f>SUMIFS('Données'!$F$2:$F$241,'Données'!$A$2:$A$241,"Pvp20",'Données'!$B$2:$B$241,$A26)</f>
        <v/>
      </c>
      <c r="D26" s="5">
        <f>SUMIFS('Données'!$F$2:$F$241,'Données'!$A$2:$A$241,"Pvp60",'Données'!$B$2:$B$241,$A26)</f>
        <v/>
      </c>
      <c r="E26" s="5">
        <f>SUMIFS('Données'!$F$2:$F$241,'Données'!$A$2:$A$241,"Farmer",'Données'!$B$2:$B$241,$A26)</f>
        <v/>
      </c>
    </row>
    <row r="27">
      <c r="A27" s="5">
        <f>ROW()-1</f>
        <v/>
      </c>
      <c r="B27" s="5">
        <f>SUMIFS('Données'!$F$2:$F$241,'Données'!$A$2:$A$241,"Solo20",'Données'!$B$2:$B$241,$A27)</f>
        <v/>
      </c>
      <c r="C27" s="5">
        <f>SUMIFS('Données'!$F$2:$F$241,'Données'!$A$2:$A$241,"Pvp20",'Données'!$B$2:$B$241,$A27)</f>
        <v/>
      </c>
      <c r="D27" s="5">
        <f>SUMIFS('Données'!$F$2:$F$241,'Données'!$A$2:$A$241,"Pvp60",'Données'!$B$2:$B$241,$A27)</f>
        <v/>
      </c>
      <c r="E27" s="5">
        <f>SUMIFS('Données'!$F$2:$F$241,'Données'!$A$2:$A$241,"Farmer",'Données'!$B$2:$B$241,$A27)</f>
        <v/>
      </c>
    </row>
    <row r="28">
      <c r="A28" s="5">
        <f>ROW()-1</f>
        <v/>
      </c>
      <c r="B28" s="5">
        <f>SUMIFS('Données'!$F$2:$F$241,'Données'!$A$2:$A$241,"Solo20",'Données'!$B$2:$B$241,$A28)</f>
        <v/>
      </c>
      <c r="C28" s="5">
        <f>SUMIFS('Données'!$F$2:$F$241,'Données'!$A$2:$A$241,"Pvp20",'Données'!$B$2:$B$241,$A28)</f>
        <v/>
      </c>
      <c r="D28" s="5">
        <f>SUMIFS('Données'!$F$2:$F$241,'Données'!$A$2:$A$241,"Pvp60",'Données'!$B$2:$B$241,$A28)</f>
        <v/>
      </c>
      <c r="E28" s="5">
        <f>SUMIFS('Données'!$F$2:$F$241,'Données'!$A$2:$A$241,"Farmer",'Données'!$B$2:$B$241,$A28)</f>
        <v/>
      </c>
    </row>
    <row r="29">
      <c r="A29" s="5">
        <f>ROW()-1</f>
        <v/>
      </c>
      <c r="B29" s="5">
        <f>SUMIFS('Données'!$F$2:$F$241,'Données'!$A$2:$A$241,"Solo20",'Données'!$B$2:$B$241,$A29)</f>
        <v/>
      </c>
      <c r="C29" s="5">
        <f>SUMIFS('Données'!$F$2:$F$241,'Données'!$A$2:$A$241,"Pvp20",'Données'!$B$2:$B$241,$A29)</f>
        <v/>
      </c>
      <c r="D29" s="5">
        <f>SUMIFS('Données'!$F$2:$F$241,'Données'!$A$2:$A$241,"Pvp60",'Données'!$B$2:$B$241,$A29)</f>
        <v/>
      </c>
      <c r="E29" s="5">
        <f>SUMIFS('Données'!$F$2:$F$241,'Données'!$A$2:$A$241,"Farmer",'Données'!$B$2:$B$241,$A29)</f>
        <v/>
      </c>
    </row>
    <row r="30">
      <c r="A30" s="5">
        <f>ROW()-1</f>
        <v/>
      </c>
      <c r="B30" s="5">
        <f>SUMIFS('Données'!$F$2:$F$241,'Données'!$A$2:$A$241,"Solo20",'Données'!$B$2:$B$241,$A30)</f>
        <v/>
      </c>
      <c r="C30" s="5">
        <f>SUMIFS('Données'!$F$2:$F$241,'Données'!$A$2:$A$241,"Pvp20",'Données'!$B$2:$B$241,$A30)</f>
        <v/>
      </c>
      <c r="D30" s="5">
        <f>SUMIFS('Données'!$F$2:$F$241,'Données'!$A$2:$A$241,"Pvp60",'Données'!$B$2:$B$241,$A30)</f>
        <v/>
      </c>
      <c r="E30" s="5">
        <f>SUMIFS('Données'!$F$2:$F$241,'Données'!$A$2:$A$241,"Farmer",'Données'!$B$2:$B$241,$A30)</f>
        <v/>
      </c>
    </row>
    <row r="31">
      <c r="A31" s="5">
        <f>ROW()-1</f>
        <v/>
      </c>
      <c r="B31" s="5">
        <f>SUMIFS('Données'!$F$2:$F$241,'Données'!$A$2:$A$241,"Solo20",'Données'!$B$2:$B$241,$A31)</f>
        <v/>
      </c>
      <c r="C31" s="5">
        <f>SUMIFS('Données'!$F$2:$F$241,'Données'!$A$2:$A$241,"Pvp20",'Données'!$B$2:$B$241,$A31)</f>
        <v/>
      </c>
      <c r="D31" s="5">
        <f>SUMIFS('Données'!$F$2:$F$241,'Données'!$A$2:$A$241,"Pvp60",'Données'!$B$2:$B$241,$A31)</f>
        <v/>
      </c>
      <c r="E31" s="5">
        <f>SUMIFS('Données'!$F$2:$F$241,'Données'!$A$2:$A$241,"Farmer",'Données'!$B$2:$B$241,$A31)</f>
        <v/>
      </c>
    </row>
    <row r="32">
      <c r="A32" s="5">
        <f>ROW()-1</f>
        <v/>
      </c>
      <c r="B32" s="5">
        <f>SUMIFS('Données'!$F$2:$F$241,'Données'!$A$2:$A$241,"Solo20",'Données'!$B$2:$B$241,$A32)</f>
        <v/>
      </c>
      <c r="C32" s="5">
        <f>SUMIFS('Données'!$F$2:$F$241,'Données'!$A$2:$A$241,"Pvp20",'Données'!$B$2:$B$241,$A32)</f>
        <v/>
      </c>
      <c r="D32" s="5">
        <f>SUMIFS('Données'!$F$2:$F$241,'Données'!$A$2:$A$241,"Pvp60",'Données'!$B$2:$B$241,$A32)</f>
        <v/>
      </c>
      <c r="E32" s="5">
        <f>SUMIFS('Données'!$F$2:$F$241,'Données'!$A$2:$A$241,"Farmer",'Données'!$B$2:$B$241,$A32)</f>
        <v/>
      </c>
    </row>
    <row r="33">
      <c r="A33" s="5">
        <f>ROW()-1</f>
        <v/>
      </c>
      <c r="B33" s="5">
        <f>SUMIFS('Données'!$F$2:$F$241,'Données'!$A$2:$A$241,"Solo20",'Données'!$B$2:$B$241,$A33)</f>
        <v/>
      </c>
      <c r="C33" s="5">
        <f>SUMIFS('Données'!$F$2:$F$241,'Données'!$A$2:$A$241,"Pvp20",'Données'!$B$2:$B$241,$A33)</f>
        <v/>
      </c>
      <c r="D33" s="5">
        <f>SUMIFS('Données'!$F$2:$F$241,'Données'!$A$2:$A$241,"Pvp60",'Données'!$B$2:$B$241,$A33)</f>
        <v/>
      </c>
      <c r="E33" s="5">
        <f>SUMIFS('Données'!$F$2:$F$241,'Données'!$A$2:$A$241,"Farmer",'Données'!$B$2:$B$241,$A33)</f>
        <v/>
      </c>
    </row>
    <row r="34">
      <c r="A34" s="5">
        <f>ROW()-1</f>
        <v/>
      </c>
      <c r="B34" s="5">
        <f>SUMIFS('Données'!$F$2:$F$241,'Données'!$A$2:$A$241,"Solo20",'Données'!$B$2:$B$241,$A34)</f>
        <v/>
      </c>
      <c r="C34" s="5">
        <f>SUMIFS('Données'!$F$2:$F$241,'Données'!$A$2:$A$241,"Pvp20",'Données'!$B$2:$B$241,$A34)</f>
        <v/>
      </c>
      <c r="D34" s="5">
        <f>SUMIFS('Données'!$F$2:$F$241,'Données'!$A$2:$A$241,"Pvp60",'Données'!$B$2:$B$241,$A34)</f>
        <v/>
      </c>
      <c r="E34" s="5">
        <f>SUMIFS('Données'!$F$2:$F$241,'Données'!$A$2:$A$241,"Farmer",'Données'!$B$2:$B$241,$A34)</f>
        <v/>
      </c>
    </row>
    <row r="35">
      <c r="A35" s="5">
        <f>ROW()-1</f>
        <v/>
      </c>
      <c r="B35" s="5">
        <f>SUMIFS('Données'!$F$2:$F$241,'Données'!$A$2:$A$241,"Solo20",'Données'!$B$2:$B$241,$A35)</f>
        <v/>
      </c>
      <c r="C35" s="5">
        <f>SUMIFS('Données'!$F$2:$F$241,'Données'!$A$2:$A$241,"Pvp20",'Données'!$B$2:$B$241,$A35)</f>
        <v/>
      </c>
      <c r="D35" s="5">
        <f>SUMIFS('Données'!$F$2:$F$241,'Données'!$A$2:$A$241,"Pvp60",'Données'!$B$2:$B$241,$A35)</f>
        <v/>
      </c>
      <c r="E35" s="5">
        <f>SUMIFS('Données'!$F$2:$F$241,'Données'!$A$2:$A$241,"Farmer",'Données'!$B$2:$B$241,$A35)</f>
        <v/>
      </c>
    </row>
    <row r="36">
      <c r="A36" s="5">
        <f>ROW()-1</f>
        <v/>
      </c>
      <c r="B36" s="5">
        <f>SUMIFS('Données'!$F$2:$F$241,'Données'!$A$2:$A$241,"Solo20",'Données'!$B$2:$B$241,$A36)</f>
        <v/>
      </c>
      <c r="C36" s="5">
        <f>SUMIFS('Données'!$F$2:$F$241,'Données'!$A$2:$A$241,"Pvp20",'Données'!$B$2:$B$241,$A36)</f>
        <v/>
      </c>
      <c r="D36" s="5">
        <f>SUMIFS('Données'!$F$2:$F$241,'Données'!$A$2:$A$241,"Pvp60",'Données'!$B$2:$B$241,$A36)</f>
        <v/>
      </c>
      <c r="E36" s="5">
        <f>SUMIFS('Données'!$F$2:$F$241,'Données'!$A$2:$A$241,"Farmer",'Données'!$B$2:$B$241,$A36)</f>
        <v/>
      </c>
    </row>
    <row r="37">
      <c r="A37" s="5">
        <f>ROW()-1</f>
        <v/>
      </c>
      <c r="B37" s="5">
        <f>SUMIFS('Données'!$F$2:$F$241,'Données'!$A$2:$A$241,"Solo20",'Données'!$B$2:$B$241,$A37)</f>
        <v/>
      </c>
      <c r="C37" s="5">
        <f>SUMIFS('Données'!$F$2:$F$241,'Données'!$A$2:$A$241,"Pvp20",'Données'!$B$2:$B$241,$A37)</f>
        <v/>
      </c>
      <c r="D37" s="5">
        <f>SUMIFS('Données'!$F$2:$F$241,'Données'!$A$2:$A$241,"Pvp60",'Données'!$B$2:$B$241,$A37)</f>
        <v/>
      </c>
      <c r="E37" s="5">
        <f>SUMIFS('Données'!$F$2:$F$241,'Données'!$A$2:$A$241,"Farmer",'Données'!$B$2:$B$241,$A37)</f>
        <v/>
      </c>
    </row>
    <row r="38">
      <c r="A38" s="5">
        <f>ROW()-1</f>
        <v/>
      </c>
      <c r="B38" s="5">
        <f>SUMIFS('Données'!$F$2:$F$241,'Données'!$A$2:$A$241,"Solo20",'Données'!$B$2:$B$241,$A38)</f>
        <v/>
      </c>
      <c r="C38" s="5">
        <f>SUMIFS('Données'!$F$2:$F$241,'Données'!$A$2:$A$241,"Pvp20",'Données'!$B$2:$B$241,$A38)</f>
        <v/>
      </c>
      <c r="D38" s="5">
        <f>SUMIFS('Données'!$F$2:$F$241,'Données'!$A$2:$A$241,"Pvp60",'Données'!$B$2:$B$241,$A38)</f>
        <v/>
      </c>
      <c r="E38" s="5">
        <f>SUMIFS('Données'!$F$2:$F$241,'Données'!$A$2:$A$241,"Farmer",'Données'!$B$2:$B$241,$A38)</f>
        <v/>
      </c>
    </row>
    <row r="39">
      <c r="A39" s="5">
        <f>ROW()-1</f>
        <v/>
      </c>
      <c r="B39" s="5">
        <f>SUMIFS('Données'!$F$2:$F$241,'Données'!$A$2:$A$241,"Solo20",'Données'!$B$2:$B$241,$A39)</f>
        <v/>
      </c>
      <c r="C39" s="5">
        <f>SUMIFS('Données'!$F$2:$F$241,'Données'!$A$2:$A$241,"Pvp20",'Données'!$B$2:$B$241,$A39)</f>
        <v/>
      </c>
      <c r="D39" s="5">
        <f>SUMIFS('Données'!$F$2:$F$241,'Données'!$A$2:$A$241,"Pvp60",'Données'!$B$2:$B$241,$A39)</f>
        <v/>
      </c>
      <c r="E39" s="5">
        <f>SUMIFS('Données'!$F$2:$F$241,'Données'!$A$2:$A$241,"Farmer",'Données'!$B$2:$B$241,$A39)</f>
        <v/>
      </c>
    </row>
    <row r="40">
      <c r="A40" s="5">
        <f>ROW()-1</f>
        <v/>
      </c>
      <c r="B40" s="5">
        <f>SUMIFS('Données'!$F$2:$F$241,'Données'!$A$2:$A$241,"Solo20",'Données'!$B$2:$B$241,$A40)</f>
        <v/>
      </c>
      <c r="C40" s="5">
        <f>SUMIFS('Données'!$F$2:$F$241,'Données'!$A$2:$A$241,"Pvp20",'Données'!$B$2:$B$241,$A40)</f>
        <v/>
      </c>
      <c r="D40" s="5">
        <f>SUMIFS('Données'!$F$2:$F$241,'Données'!$A$2:$A$241,"Pvp60",'Données'!$B$2:$B$241,$A40)</f>
        <v/>
      </c>
      <c r="E40" s="5">
        <f>SUMIFS('Données'!$F$2:$F$241,'Données'!$A$2:$A$241,"Farmer",'Données'!$B$2:$B$241,$A40)</f>
        <v/>
      </c>
    </row>
    <row r="41">
      <c r="A41" s="5">
        <f>ROW()-1</f>
        <v/>
      </c>
      <c r="B41" s="5">
        <f>SUMIFS('Données'!$F$2:$F$241,'Données'!$A$2:$A$241,"Solo20",'Données'!$B$2:$B$241,$A41)</f>
        <v/>
      </c>
      <c r="C41" s="5">
        <f>SUMIFS('Données'!$F$2:$F$241,'Données'!$A$2:$A$241,"Pvp20",'Données'!$B$2:$B$241,$A41)</f>
        <v/>
      </c>
      <c r="D41" s="5">
        <f>SUMIFS('Données'!$F$2:$F$241,'Données'!$A$2:$A$241,"Pvp60",'Données'!$B$2:$B$241,$A41)</f>
        <v/>
      </c>
      <c r="E41" s="5">
        <f>SUMIFS('Données'!$F$2:$F$241,'Données'!$A$2:$A$241,"Farmer",'Données'!$B$2:$B$241,$A41)</f>
        <v/>
      </c>
    </row>
    <row r="42">
      <c r="A42" s="5">
        <f>ROW()-1</f>
        <v/>
      </c>
      <c r="B42" s="5">
        <f>SUMIFS('Données'!$F$2:$F$241,'Données'!$A$2:$A$241,"Solo20",'Données'!$B$2:$B$241,$A42)</f>
        <v/>
      </c>
      <c r="C42" s="5">
        <f>SUMIFS('Données'!$F$2:$F$241,'Données'!$A$2:$A$241,"Pvp20",'Données'!$B$2:$B$241,$A42)</f>
        <v/>
      </c>
      <c r="D42" s="5">
        <f>SUMIFS('Données'!$F$2:$F$241,'Données'!$A$2:$A$241,"Pvp60",'Données'!$B$2:$B$241,$A42)</f>
        <v/>
      </c>
      <c r="E42" s="5">
        <f>SUMIFS('Données'!$F$2:$F$241,'Données'!$A$2:$A$241,"Farmer",'Données'!$B$2:$B$241,$A42)</f>
        <v/>
      </c>
    </row>
    <row r="43">
      <c r="A43" s="5">
        <f>ROW()-1</f>
        <v/>
      </c>
      <c r="B43" s="5">
        <f>SUMIFS('Données'!$F$2:$F$241,'Données'!$A$2:$A$241,"Solo20",'Données'!$B$2:$B$241,$A43)</f>
        <v/>
      </c>
      <c r="C43" s="5">
        <f>SUMIFS('Données'!$F$2:$F$241,'Données'!$A$2:$A$241,"Pvp20",'Données'!$B$2:$B$241,$A43)</f>
        <v/>
      </c>
      <c r="D43" s="5">
        <f>SUMIFS('Données'!$F$2:$F$241,'Données'!$A$2:$A$241,"Pvp60",'Données'!$B$2:$B$241,$A43)</f>
        <v/>
      </c>
      <c r="E43" s="5">
        <f>SUMIFS('Données'!$F$2:$F$241,'Données'!$A$2:$A$241,"Farmer",'Données'!$B$2:$B$241,$A43)</f>
        <v/>
      </c>
    </row>
    <row r="44">
      <c r="A44" s="5">
        <f>ROW()-1</f>
        <v/>
      </c>
      <c r="B44" s="5">
        <f>SUMIFS('Données'!$F$2:$F$241,'Données'!$A$2:$A$241,"Solo20",'Données'!$B$2:$B$241,$A44)</f>
        <v/>
      </c>
      <c r="C44" s="5">
        <f>SUMIFS('Données'!$F$2:$F$241,'Données'!$A$2:$A$241,"Pvp20",'Données'!$B$2:$B$241,$A44)</f>
        <v/>
      </c>
      <c r="D44" s="5">
        <f>SUMIFS('Données'!$F$2:$F$241,'Données'!$A$2:$A$241,"Pvp60",'Données'!$B$2:$B$241,$A44)</f>
        <v/>
      </c>
      <c r="E44" s="5">
        <f>SUMIFS('Données'!$F$2:$F$241,'Données'!$A$2:$A$241,"Farmer",'Données'!$B$2:$B$241,$A44)</f>
        <v/>
      </c>
    </row>
    <row r="45">
      <c r="A45" s="5">
        <f>ROW()-1</f>
        <v/>
      </c>
      <c r="B45" s="5">
        <f>SUMIFS('Données'!$F$2:$F$241,'Données'!$A$2:$A$241,"Solo20",'Données'!$B$2:$B$241,$A45)</f>
        <v/>
      </c>
      <c r="C45" s="5">
        <f>SUMIFS('Données'!$F$2:$F$241,'Données'!$A$2:$A$241,"Pvp20",'Données'!$B$2:$B$241,$A45)</f>
        <v/>
      </c>
      <c r="D45" s="5">
        <f>SUMIFS('Données'!$F$2:$F$241,'Données'!$A$2:$A$241,"Pvp60",'Données'!$B$2:$B$241,$A45)</f>
        <v/>
      </c>
      <c r="E45" s="5">
        <f>SUMIFS('Données'!$F$2:$F$241,'Données'!$A$2:$A$241,"Farmer",'Données'!$B$2:$B$241,$A45)</f>
        <v/>
      </c>
    </row>
    <row r="46">
      <c r="A46" s="5">
        <f>ROW()-1</f>
        <v/>
      </c>
      <c r="B46" s="5">
        <f>SUMIFS('Données'!$F$2:$F$241,'Données'!$A$2:$A$241,"Solo20",'Données'!$B$2:$B$241,$A46)</f>
        <v/>
      </c>
      <c r="C46" s="5">
        <f>SUMIFS('Données'!$F$2:$F$241,'Données'!$A$2:$A$241,"Pvp20",'Données'!$B$2:$B$241,$A46)</f>
        <v/>
      </c>
      <c r="D46" s="5">
        <f>SUMIFS('Données'!$F$2:$F$241,'Données'!$A$2:$A$241,"Pvp60",'Données'!$B$2:$B$241,$A46)</f>
        <v/>
      </c>
      <c r="E46" s="5">
        <f>SUMIFS('Données'!$F$2:$F$241,'Données'!$A$2:$A$241,"Farmer",'Données'!$B$2:$B$241,$A46)</f>
        <v/>
      </c>
    </row>
    <row r="47">
      <c r="A47" s="5">
        <f>ROW()-1</f>
        <v/>
      </c>
      <c r="B47" s="5">
        <f>SUMIFS('Données'!$F$2:$F$241,'Données'!$A$2:$A$241,"Solo20",'Données'!$B$2:$B$241,$A47)</f>
        <v/>
      </c>
      <c r="C47" s="5">
        <f>SUMIFS('Données'!$F$2:$F$241,'Données'!$A$2:$A$241,"Pvp20",'Données'!$B$2:$B$241,$A47)</f>
        <v/>
      </c>
      <c r="D47" s="5">
        <f>SUMIFS('Données'!$F$2:$F$241,'Données'!$A$2:$A$241,"Pvp60",'Données'!$B$2:$B$241,$A47)</f>
        <v/>
      </c>
      <c r="E47" s="5">
        <f>SUMIFS('Données'!$F$2:$F$241,'Données'!$A$2:$A$241,"Farmer",'Données'!$B$2:$B$241,$A47)</f>
        <v/>
      </c>
    </row>
    <row r="48">
      <c r="A48" s="5">
        <f>ROW()-1</f>
        <v/>
      </c>
      <c r="B48" s="5">
        <f>SUMIFS('Données'!$F$2:$F$241,'Données'!$A$2:$A$241,"Solo20",'Données'!$B$2:$B$241,$A48)</f>
        <v/>
      </c>
      <c r="C48" s="5">
        <f>SUMIFS('Données'!$F$2:$F$241,'Données'!$A$2:$A$241,"Pvp20",'Données'!$B$2:$B$241,$A48)</f>
        <v/>
      </c>
      <c r="D48" s="5">
        <f>SUMIFS('Données'!$F$2:$F$241,'Données'!$A$2:$A$241,"Pvp60",'Données'!$B$2:$B$241,$A48)</f>
        <v/>
      </c>
      <c r="E48" s="5">
        <f>SUMIFS('Données'!$F$2:$F$241,'Données'!$A$2:$A$241,"Farmer",'Données'!$B$2:$B$241,$A48)</f>
        <v/>
      </c>
    </row>
    <row r="49">
      <c r="A49" s="5">
        <f>ROW()-1</f>
        <v/>
      </c>
      <c r="B49" s="5">
        <f>SUMIFS('Données'!$F$2:$F$241,'Données'!$A$2:$A$241,"Solo20",'Données'!$B$2:$B$241,$A49)</f>
        <v/>
      </c>
      <c r="C49" s="5">
        <f>SUMIFS('Données'!$F$2:$F$241,'Données'!$A$2:$A$241,"Pvp20",'Données'!$B$2:$B$241,$A49)</f>
        <v/>
      </c>
      <c r="D49" s="5">
        <f>SUMIFS('Données'!$F$2:$F$241,'Données'!$A$2:$A$241,"Pvp60",'Données'!$B$2:$B$241,$A49)</f>
        <v/>
      </c>
      <c r="E49" s="5">
        <f>SUMIFS('Données'!$F$2:$F$241,'Données'!$A$2:$A$241,"Farmer",'Données'!$B$2:$B$241,$A49)</f>
        <v/>
      </c>
    </row>
    <row r="50">
      <c r="A50" s="5">
        <f>ROW()-1</f>
        <v/>
      </c>
      <c r="B50" s="5">
        <f>SUMIFS('Données'!$F$2:$F$241,'Données'!$A$2:$A$241,"Solo20",'Données'!$B$2:$B$241,$A50)</f>
        <v/>
      </c>
      <c r="C50" s="5">
        <f>SUMIFS('Données'!$F$2:$F$241,'Données'!$A$2:$A$241,"Pvp20",'Données'!$B$2:$B$241,$A50)</f>
        <v/>
      </c>
      <c r="D50" s="5">
        <f>SUMIFS('Données'!$F$2:$F$241,'Données'!$A$2:$A$241,"Pvp60",'Données'!$B$2:$B$241,$A50)</f>
        <v/>
      </c>
      <c r="E50" s="5">
        <f>SUMIFS('Données'!$F$2:$F$241,'Données'!$A$2:$A$241,"Farmer",'Données'!$B$2:$B$241,$A50)</f>
        <v/>
      </c>
    </row>
    <row r="51">
      <c r="A51" s="5">
        <f>ROW()-1</f>
        <v/>
      </c>
      <c r="B51" s="5">
        <f>SUMIFS('Données'!$F$2:$F$241,'Données'!$A$2:$A$241,"Solo20",'Données'!$B$2:$B$241,$A51)</f>
        <v/>
      </c>
      <c r="C51" s="5">
        <f>SUMIFS('Données'!$F$2:$F$241,'Données'!$A$2:$A$241,"Pvp20",'Données'!$B$2:$B$241,$A51)</f>
        <v/>
      </c>
      <c r="D51" s="5">
        <f>SUMIFS('Données'!$F$2:$F$241,'Données'!$A$2:$A$241,"Pvp60",'Données'!$B$2:$B$241,$A51)</f>
        <v/>
      </c>
      <c r="E51" s="5">
        <f>SUMIFS('Données'!$F$2:$F$241,'Données'!$A$2:$A$241,"Farmer",'Données'!$B$2:$B$241,$A51)</f>
        <v/>
      </c>
    </row>
    <row r="52">
      <c r="A52" s="5">
        <f>ROW()-1</f>
        <v/>
      </c>
      <c r="B52" s="5">
        <f>SUMIFS('Données'!$F$2:$F$241,'Données'!$A$2:$A$241,"Solo20",'Données'!$B$2:$B$241,$A52)</f>
        <v/>
      </c>
      <c r="C52" s="5">
        <f>SUMIFS('Données'!$F$2:$F$241,'Données'!$A$2:$A$241,"Pvp20",'Données'!$B$2:$B$241,$A52)</f>
        <v/>
      </c>
      <c r="D52" s="5">
        <f>SUMIFS('Données'!$F$2:$F$241,'Données'!$A$2:$A$241,"Pvp60",'Données'!$B$2:$B$241,$A52)</f>
        <v/>
      </c>
      <c r="E52" s="5">
        <f>SUMIFS('Données'!$F$2:$F$241,'Données'!$A$2:$A$241,"Farmer",'Données'!$B$2:$B$241,$A52)</f>
        <v/>
      </c>
    </row>
    <row r="53">
      <c r="A53" s="5">
        <f>ROW()-1</f>
        <v/>
      </c>
      <c r="B53" s="5">
        <f>SUMIFS('Données'!$F$2:$F$241,'Données'!$A$2:$A$241,"Solo20",'Données'!$B$2:$B$241,$A53)</f>
        <v/>
      </c>
      <c r="C53" s="5">
        <f>SUMIFS('Données'!$F$2:$F$241,'Données'!$A$2:$A$241,"Pvp20",'Données'!$B$2:$B$241,$A53)</f>
        <v/>
      </c>
      <c r="D53" s="5">
        <f>SUMIFS('Données'!$F$2:$F$241,'Données'!$A$2:$A$241,"Pvp60",'Données'!$B$2:$B$241,$A53)</f>
        <v/>
      </c>
      <c r="E53" s="5">
        <f>SUMIFS('Données'!$F$2:$F$241,'Données'!$A$2:$A$241,"Farmer",'Données'!$B$2:$B$241,$A53)</f>
        <v/>
      </c>
    </row>
    <row r="54">
      <c r="A54" s="5">
        <f>ROW()-1</f>
        <v/>
      </c>
      <c r="B54" s="5">
        <f>SUMIFS('Données'!$F$2:$F$241,'Données'!$A$2:$A$241,"Solo20",'Données'!$B$2:$B$241,$A54)</f>
        <v/>
      </c>
      <c r="C54" s="5">
        <f>SUMIFS('Données'!$F$2:$F$241,'Données'!$A$2:$A$241,"Pvp20",'Données'!$B$2:$B$241,$A54)</f>
        <v/>
      </c>
      <c r="D54" s="5">
        <f>SUMIFS('Données'!$F$2:$F$241,'Données'!$A$2:$A$241,"Pvp60",'Données'!$B$2:$B$241,$A54)</f>
        <v/>
      </c>
      <c r="E54" s="5">
        <f>SUMIFS('Données'!$F$2:$F$241,'Données'!$A$2:$A$241,"Farmer",'Données'!$B$2:$B$241,$A54)</f>
        <v/>
      </c>
    </row>
    <row r="55">
      <c r="A55" s="5">
        <f>ROW()-1</f>
        <v/>
      </c>
      <c r="B55" s="5">
        <f>SUMIFS('Données'!$F$2:$F$241,'Données'!$A$2:$A$241,"Solo20",'Données'!$B$2:$B$241,$A55)</f>
        <v/>
      </c>
      <c r="C55" s="5">
        <f>SUMIFS('Données'!$F$2:$F$241,'Données'!$A$2:$A$241,"Pvp20",'Données'!$B$2:$B$241,$A55)</f>
        <v/>
      </c>
      <c r="D55" s="5">
        <f>SUMIFS('Données'!$F$2:$F$241,'Données'!$A$2:$A$241,"Pvp60",'Données'!$B$2:$B$241,$A55)</f>
        <v/>
      </c>
      <c r="E55" s="5">
        <f>SUMIFS('Données'!$F$2:$F$241,'Données'!$A$2:$A$241,"Farmer",'Données'!$B$2:$B$241,$A55)</f>
        <v/>
      </c>
    </row>
    <row r="56">
      <c r="A56" s="5">
        <f>ROW()-1</f>
        <v/>
      </c>
      <c r="B56" s="5">
        <f>SUMIFS('Données'!$F$2:$F$241,'Données'!$A$2:$A$241,"Solo20",'Données'!$B$2:$B$241,$A56)</f>
        <v/>
      </c>
      <c r="C56" s="5">
        <f>SUMIFS('Données'!$F$2:$F$241,'Données'!$A$2:$A$241,"Pvp20",'Données'!$B$2:$B$241,$A56)</f>
        <v/>
      </c>
      <c r="D56" s="5">
        <f>SUMIFS('Données'!$F$2:$F$241,'Données'!$A$2:$A$241,"Pvp60",'Données'!$B$2:$B$241,$A56)</f>
        <v/>
      </c>
      <c r="E56" s="5">
        <f>SUMIFS('Données'!$F$2:$F$241,'Données'!$A$2:$A$241,"Farmer",'Données'!$B$2:$B$241,$A56)</f>
        <v/>
      </c>
    </row>
    <row r="57">
      <c r="A57" s="5">
        <f>ROW()-1</f>
        <v/>
      </c>
      <c r="B57" s="5">
        <f>SUMIFS('Données'!$F$2:$F$241,'Données'!$A$2:$A$241,"Solo20",'Données'!$B$2:$B$241,$A57)</f>
        <v/>
      </c>
      <c r="C57" s="5">
        <f>SUMIFS('Données'!$F$2:$F$241,'Données'!$A$2:$A$241,"Pvp20",'Données'!$B$2:$B$241,$A57)</f>
        <v/>
      </c>
      <c r="D57" s="5">
        <f>SUMIFS('Données'!$F$2:$F$241,'Données'!$A$2:$A$241,"Pvp60",'Données'!$B$2:$B$241,$A57)</f>
        <v/>
      </c>
      <c r="E57" s="5">
        <f>SUMIFS('Données'!$F$2:$F$241,'Données'!$A$2:$A$241,"Farmer",'Données'!$B$2:$B$241,$A57)</f>
        <v/>
      </c>
    </row>
    <row r="58">
      <c r="A58" s="5">
        <f>ROW()-1</f>
        <v/>
      </c>
      <c r="B58" s="5">
        <f>SUMIFS('Données'!$F$2:$F$241,'Données'!$A$2:$A$241,"Solo20",'Données'!$B$2:$B$241,$A58)</f>
        <v/>
      </c>
      <c r="C58" s="5">
        <f>SUMIFS('Données'!$F$2:$F$241,'Données'!$A$2:$A$241,"Pvp20",'Données'!$B$2:$B$241,$A58)</f>
        <v/>
      </c>
      <c r="D58" s="5">
        <f>SUMIFS('Données'!$F$2:$F$241,'Données'!$A$2:$A$241,"Pvp60",'Données'!$B$2:$B$241,$A58)</f>
        <v/>
      </c>
      <c r="E58" s="5">
        <f>SUMIFS('Données'!$F$2:$F$241,'Données'!$A$2:$A$241,"Farmer",'Données'!$B$2:$B$241,$A58)</f>
        <v/>
      </c>
    </row>
    <row r="59">
      <c r="A59" s="5">
        <f>ROW()-1</f>
        <v/>
      </c>
      <c r="B59" s="5">
        <f>SUMIFS('Données'!$F$2:$F$241,'Données'!$A$2:$A$241,"Solo20",'Données'!$B$2:$B$241,$A59)</f>
        <v/>
      </c>
      <c r="C59" s="5">
        <f>SUMIFS('Données'!$F$2:$F$241,'Données'!$A$2:$A$241,"Pvp20",'Données'!$B$2:$B$241,$A59)</f>
        <v/>
      </c>
      <c r="D59" s="5">
        <f>SUMIFS('Données'!$F$2:$F$241,'Données'!$A$2:$A$241,"Pvp60",'Données'!$B$2:$B$241,$A59)</f>
        <v/>
      </c>
      <c r="E59" s="5">
        <f>SUMIFS('Données'!$F$2:$F$241,'Données'!$A$2:$A$241,"Farmer",'Données'!$B$2:$B$241,$A59)</f>
        <v/>
      </c>
    </row>
    <row r="60">
      <c r="A60" s="5">
        <f>ROW()-1</f>
        <v/>
      </c>
      <c r="B60" s="5">
        <f>SUMIFS('Données'!$F$2:$F$241,'Données'!$A$2:$A$241,"Solo20",'Données'!$B$2:$B$241,$A60)</f>
        <v/>
      </c>
      <c r="C60" s="5">
        <f>SUMIFS('Données'!$F$2:$F$241,'Données'!$A$2:$A$241,"Pvp20",'Données'!$B$2:$B$241,$A60)</f>
        <v/>
      </c>
      <c r="D60" s="5">
        <f>SUMIFS('Données'!$F$2:$F$241,'Données'!$A$2:$A$241,"Pvp60",'Données'!$B$2:$B$241,$A60)</f>
        <v/>
      </c>
      <c r="E60" s="5">
        <f>SUMIFS('Données'!$F$2:$F$241,'Données'!$A$2:$A$241,"Farmer",'Données'!$B$2:$B$241,$A60)</f>
        <v/>
      </c>
    </row>
    <row r="61">
      <c r="A61" s="5">
        <f>ROW()-1</f>
        <v/>
      </c>
      <c r="B61" s="5">
        <f>SUMIFS('Données'!$F$2:$F$241,'Données'!$A$2:$A$241,"Solo20",'Données'!$B$2:$B$241,$A61)</f>
        <v/>
      </c>
      <c r="C61" s="5">
        <f>SUMIFS('Données'!$F$2:$F$241,'Données'!$A$2:$A$241,"Pvp20",'Données'!$B$2:$B$241,$A61)</f>
        <v/>
      </c>
      <c r="D61" s="5">
        <f>SUMIFS('Données'!$F$2:$F$241,'Données'!$A$2:$A$241,"Pvp60",'Données'!$B$2:$B$241,$A61)</f>
        <v/>
      </c>
      <c r="E61" s="5">
        <f>SUMIFS('Données'!$F$2:$F$241,'Données'!$A$2:$A$241,"Farmer",'Données'!$B$2:$B$241,$A61)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2026-09-30T18:48:57Z</dcterms:created>
  <dcterms:modified xmlns:dcterms="http://purl.org/dc/terms/" xmlns:xsi="http://www.w3.org/2001/XMLSchema-instance" xsi:type="dcterms:W3CDTF">2026-09-30T18:48:57Z</dcterms:modified>
</cp:coreProperties>
</file>